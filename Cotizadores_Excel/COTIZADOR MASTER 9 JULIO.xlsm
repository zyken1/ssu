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AppServ\www\SSU\Cotizadores_Excel\"/>
    </mc:Choice>
  </mc:AlternateContent>
  <workbookProtection lockStructure="1"/>
  <bookViews>
    <workbookView xWindow="0" yWindow="0" windowWidth="20490" windowHeight="7650" tabRatio="781" activeTab="1"/>
  </bookViews>
  <sheets>
    <sheet name="Catalogo-Datos" sheetId="13" r:id="rId1"/>
    <sheet name="COTIZADOR" sheetId="11" r:id="rId2"/>
    <sheet name="Hoja de Cotizacion" sheetId="12" r:id="rId3"/>
    <sheet name="PRECIOS " sheetId="15" r:id="rId4"/>
    <sheet name="PLANTAS" sheetId="16" r:id="rId5"/>
  </sheets>
  <externalReferences>
    <externalReference r:id="rId6"/>
    <externalReference r:id="rId7"/>
    <externalReference r:id="rId8"/>
    <externalReference r:id="rId9"/>
    <externalReference r:id="rId10"/>
  </externalReferences>
  <definedNames>
    <definedName name="_xlnm._FilterDatabase" localSheetId="1" hidden="1">COTIZADOR!$D$8:$H$35</definedName>
    <definedName name="Ahorro">[1]datos!$K$23</definedName>
    <definedName name="CBastidor" comment="codigo del bastidor  para la base ">'Catalogo-Datos'!$F$120:$F$128</definedName>
    <definedName name="CBaterias" comment="Base para Codigo de baterias ">'Catalogo-Datos'!$F$41:$F$50</definedName>
    <definedName name="CBombeo" comment="Codigo para la base de bombeo ">'Catalogo-Datos'!$F$187:$F$190</definedName>
    <definedName name="CControlador" comment="Estos son los codigos para el controlador bombeo son PV combiner">'Catalogo-Datos'!$F$182:$F$185</definedName>
    <definedName name="CControladores" comment="Base para los codigos de los controladores ">'Catalogo-Datos'!$F$15:$F$39</definedName>
    <definedName name="CGabinete" comment="Codigo para Gabinetes ">'Catalogo-Datos'!$F$140:$F$144</definedName>
    <definedName name="CInversor" comment="codigo para la base de inversores ">'Catalogo-Datos'!$F$52:$F$79</definedName>
    <definedName name="CKit" comment="Base para los COdigos de los Kits ">'Catalogo-Datos'!$F$109:$F$111</definedName>
    <definedName name="CLuminarias" comment="codigo para las  luminarias  ">'Catalogo-Datos'!$F$90:$F$107</definedName>
    <definedName name="CManoObra" comment="Codigo para la mano de obra">'Catalogo-Datos'!$F$177:$F$179</definedName>
    <definedName name="CMastil">'Catalogo-Datos'!$F$198:$F$203</definedName>
    <definedName name="CMaterial" comment="Codigo para el Material electrico ">'Catalogo-Datos'!$F$172:$F$175</definedName>
    <definedName name="CModulos">'Catalogo-Datos'!$F$3:$F$13</definedName>
    <definedName name="CMRyPAR">'Catalogo-Datos'!$F$82:$F$88</definedName>
    <definedName name="CostoSFVMXN">[1]datos!$H$27</definedName>
    <definedName name="CRayos">'Catalogo-Datos'!$F$192:$F$196</definedName>
    <definedName name="CRefrigerador" comment="COdigo para el  Refrigerador  para la base">'Catalogo-Datos'!$F$146:$F$151</definedName>
    <definedName name="CSoporte" comment="Codigo para soportes tubulares">'Catalogo-Datos'!$F$129:$F$138</definedName>
    <definedName name="CTablero" comment="Codigo para los tableros en la base de datos " localSheetId="3">'PRECIOS '!#REF!</definedName>
    <definedName name="CTablero" comment="Codigo para los tableros en la base de datos ">'Catalogo-Datos'!$F$112:$F$118</definedName>
    <definedName name="DAC">[1]datos!$J$7</definedName>
    <definedName name="eficiencia">[1]datos!$J$5</definedName>
    <definedName name="FAnticipo">[1]datos!$R$20</definedName>
    <definedName name="FTasainteres">[1]datos!$R$19</definedName>
    <definedName name="iCd">[1]datos!$B$4</definedName>
    <definedName name="IncrementT11a25">[1]datos!$R$14</definedName>
    <definedName name="IncrementT1a5">[1]datos!$R$12</definedName>
    <definedName name="IncrementT6a10">[1]datos!$R$13</definedName>
    <definedName name="Insolacion">'[2]Tamaño del sistema'!$Q$9</definedName>
    <definedName name="IVA">[1]datos!$R$6</definedName>
    <definedName name="IVAsfv">[1]datos!$R$7</definedName>
    <definedName name="kWp">[1]datos!$J$4</definedName>
    <definedName name="MatrizCotizador" comment="Esta matriz es para enlazar los datos del Cotizador en caso de agrgar nuevos">COTIZADOR!$D$8:$H$30</definedName>
    <definedName name="MXUS">[1]datos!$R$16</definedName>
    <definedName name="NMods">'[3]2 kW CA r'!$F$2</definedName>
    <definedName name="PagoFijo">[1]Amortizaciones!$B$9</definedName>
    <definedName name="PLANTAS">#REF!</definedName>
    <definedName name="PMod">'[3]2 kW CA r'!$F$3</definedName>
    <definedName name="PrecioCFDAC">[1]Tariff!$E$3</definedName>
    <definedName name="precioInst">[1]datos!$R$5</definedName>
    <definedName name="PreciokWhDAC">[1]Tariff!$E$2</definedName>
    <definedName name="preciokWp">[1]datos!$R$4</definedName>
    <definedName name="Rango_Costos">'[4]Precio-Costo Off-grid'!$A$3:$J$203</definedName>
    <definedName name="rangoVA1">[1]Tariff!$D$4</definedName>
    <definedName name="rangoVA2">[1]Tariff!$D$11</definedName>
    <definedName name="RepagoCred">[1]RInversion!$D$244</definedName>
    <definedName name="RetornoInv">[1]RInversion!$D$243</definedName>
    <definedName name="tabregion">[1]ciudades!$A$2:$AC$18</definedName>
    <definedName name="TarifaVA1">[1]Tariff!$E$4</definedName>
    <definedName name="TarifaVA2">[1]Tariff!$E$5</definedName>
    <definedName name="TarifaVA3">[1]Tariff!$E$6</definedName>
    <definedName name="ValorAnticipo">'[5]DATOS '!$R$22</definedName>
  </definedNames>
  <calcPr calcId="162913"/>
</workbook>
</file>

<file path=xl/calcChain.xml><?xml version="1.0" encoding="utf-8"?>
<calcChain xmlns="http://schemas.openxmlformats.org/spreadsheetml/2006/main">
  <c r="K83" i="13" l="1"/>
  <c r="K36" i="13" l="1"/>
  <c r="L44" i="13" l="1"/>
  <c r="L41" i="13"/>
  <c r="K41" i="13" s="1"/>
  <c r="L43" i="13"/>
  <c r="K43" i="13" s="1"/>
  <c r="M203" i="13" l="1"/>
  <c r="K203" i="13"/>
  <c r="I203" i="13"/>
  <c r="J203" i="13" s="1"/>
  <c r="M202" i="13"/>
  <c r="K202" i="13"/>
  <c r="I202" i="13"/>
  <c r="J202" i="13" s="1"/>
  <c r="M201" i="13"/>
  <c r="K201" i="13"/>
  <c r="I201" i="13" s="1"/>
  <c r="J201" i="13" s="1"/>
  <c r="M200" i="13"/>
  <c r="K200" i="13"/>
  <c r="I200" i="13"/>
  <c r="J200" i="13" s="1"/>
  <c r="M199" i="13"/>
  <c r="K199" i="13"/>
  <c r="I199" i="13" s="1"/>
  <c r="J199" i="13" s="1"/>
  <c r="M198" i="13"/>
  <c r="K198" i="13"/>
  <c r="I198" i="13"/>
  <c r="J198" i="13" s="1"/>
  <c r="M197" i="13"/>
  <c r="M196" i="13"/>
  <c r="K196" i="13"/>
  <c r="I196" i="13" s="1"/>
  <c r="J196" i="13"/>
  <c r="M195" i="13"/>
  <c r="K195" i="13"/>
  <c r="I195" i="13" s="1"/>
  <c r="J195" i="13" s="1"/>
  <c r="M194" i="13"/>
  <c r="K194" i="13"/>
  <c r="I194" i="13" s="1"/>
  <c r="J194" i="13" s="1"/>
  <c r="M193" i="13"/>
  <c r="K193" i="13"/>
  <c r="I193" i="13" s="1"/>
  <c r="J193" i="13" s="1"/>
  <c r="M192" i="13"/>
  <c r="K192" i="13"/>
  <c r="I192" i="13" s="1"/>
  <c r="J192" i="13" s="1"/>
  <c r="M191" i="13"/>
  <c r="I191" i="13"/>
  <c r="J191" i="13" s="1"/>
  <c r="M190" i="13"/>
  <c r="K190" i="13"/>
  <c r="I190" i="13"/>
  <c r="J190" i="13" s="1"/>
  <c r="M189" i="13"/>
  <c r="K189" i="13"/>
  <c r="I189" i="13" s="1"/>
  <c r="J189" i="13" s="1"/>
  <c r="M188" i="13"/>
  <c r="K188" i="13"/>
  <c r="I188" i="13" s="1"/>
  <c r="J188" i="13" s="1"/>
  <c r="M187" i="13"/>
  <c r="K187" i="13"/>
  <c r="I187" i="13" s="1"/>
  <c r="J187" i="13" s="1"/>
  <c r="M186" i="13"/>
  <c r="M185" i="13"/>
  <c r="K185" i="13"/>
  <c r="I185" i="13" s="1"/>
  <c r="J185" i="13" s="1"/>
  <c r="M184" i="13"/>
  <c r="K184" i="13"/>
  <c r="I184" i="13" s="1"/>
  <c r="J184" i="13"/>
  <c r="M183" i="13"/>
  <c r="K183" i="13"/>
  <c r="I183" i="13" s="1"/>
  <c r="J183" i="13" s="1"/>
  <c r="M182" i="13"/>
  <c r="K182" i="13"/>
  <c r="I182" i="13" s="1"/>
  <c r="J182" i="13" s="1"/>
  <c r="M181" i="13"/>
  <c r="M180" i="13"/>
  <c r="J180" i="13"/>
  <c r="I180" i="13"/>
  <c r="M179" i="13"/>
  <c r="K179" i="13"/>
  <c r="I179" i="13" s="1"/>
  <c r="J179" i="13"/>
  <c r="M178" i="13"/>
  <c r="K178" i="13"/>
  <c r="I178" i="13" s="1"/>
  <c r="J178" i="13"/>
  <c r="M177" i="13"/>
  <c r="K177" i="13"/>
  <c r="J177" i="13"/>
  <c r="M176" i="13"/>
  <c r="M175" i="13"/>
  <c r="K175" i="13"/>
  <c r="I175" i="13" s="1"/>
  <c r="J175" i="13" s="1"/>
  <c r="M174" i="13"/>
  <c r="I174" i="13"/>
  <c r="J174" i="13" s="1"/>
  <c r="M173" i="13"/>
  <c r="K173" i="13"/>
  <c r="I173" i="13" s="1"/>
  <c r="J173" i="13" s="1"/>
  <c r="M172" i="13"/>
  <c r="K172" i="13"/>
  <c r="I172" i="13" s="1"/>
  <c r="J172" i="13" s="1"/>
  <c r="M171" i="13"/>
  <c r="M170" i="13"/>
  <c r="K170" i="13"/>
  <c r="I170" i="13" s="1"/>
  <c r="J170" i="13" s="1"/>
  <c r="M169" i="13"/>
  <c r="K169" i="13"/>
  <c r="I169" i="13" s="1"/>
  <c r="J169" i="13" s="1"/>
  <c r="M168" i="13"/>
  <c r="K168" i="13"/>
  <c r="I168" i="13" s="1"/>
  <c r="J168" i="13" s="1"/>
  <c r="M167" i="13"/>
  <c r="K167" i="13"/>
  <c r="I167" i="13" s="1"/>
  <c r="J167" i="13" s="1"/>
  <c r="M166" i="13"/>
  <c r="K166" i="13"/>
  <c r="I166" i="13" s="1"/>
  <c r="J166" i="13" s="1"/>
  <c r="M165" i="13"/>
  <c r="K165" i="13"/>
  <c r="I165" i="13" s="1"/>
  <c r="J165" i="13" s="1"/>
  <c r="M164" i="13"/>
  <c r="K164" i="13"/>
  <c r="I164" i="13" s="1"/>
  <c r="J164" i="13" s="1"/>
  <c r="M163" i="13"/>
  <c r="K163" i="13"/>
  <c r="I163" i="13" s="1"/>
  <c r="J163" i="13" s="1"/>
  <c r="M162" i="13"/>
  <c r="K162" i="13"/>
  <c r="I162" i="13" s="1"/>
  <c r="J162" i="13" s="1"/>
  <c r="M161" i="13"/>
  <c r="K161" i="13"/>
  <c r="I161" i="13" s="1"/>
  <c r="J161" i="13" s="1"/>
  <c r="M160" i="13"/>
  <c r="K160" i="13"/>
  <c r="I160" i="13" s="1"/>
  <c r="J160" i="13" s="1"/>
  <c r="M159" i="13"/>
  <c r="K159" i="13"/>
  <c r="I159" i="13" s="1"/>
  <c r="J159" i="13" s="1"/>
  <c r="M158" i="13"/>
  <c r="K158" i="13"/>
  <c r="I158" i="13" s="1"/>
  <c r="J158" i="13" s="1"/>
  <c r="M157" i="13"/>
  <c r="K157" i="13"/>
  <c r="I157" i="13" s="1"/>
  <c r="J157" i="13" s="1"/>
  <c r="M156" i="13"/>
  <c r="K156" i="13"/>
  <c r="I156" i="13" s="1"/>
  <c r="J156" i="13" s="1"/>
  <c r="M155" i="13"/>
  <c r="I155" i="13"/>
  <c r="J155" i="13" s="1"/>
  <c r="M154" i="13"/>
  <c r="K154" i="13"/>
  <c r="I154" i="13" s="1"/>
  <c r="J154" i="13" s="1"/>
  <c r="M153" i="13"/>
  <c r="K153" i="13"/>
  <c r="I153" i="13" s="1"/>
  <c r="J153" i="13" s="1"/>
  <c r="M152" i="13"/>
  <c r="K152" i="13"/>
  <c r="I152" i="13" s="1"/>
  <c r="J152" i="13" s="1"/>
  <c r="M151" i="13"/>
  <c r="K151" i="13"/>
  <c r="I151" i="13" s="1"/>
  <c r="J151" i="13" s="1"/>
  <c r="M150" i="13"/>
  <c r="K150" i="13"/>
  <c r="I150" i="13" s="1"/>
  <c r="J150" i="13" s="1"/>
  <c r="M149" i="13"/>
  <c r="K149" i="13"/>
  <c r="I149" i="13" s="1"/>
  <c r="J149" i="13" s="1"/>
  <c r="M148" i="13"/>
  <c r="K148" i="13"/>
  <c r="I148" i="13" s="1"/>
  <c r="J148" i="13" s="1"/>
  <c r="M147" i="13"/>
  <c r="K147" i="13"/>
  <c r="I147" i="13" s="1"/>
  <c r="J147" i="13" s="1"/>
  <c r="M146" i="13"/>
  <c r="K146" i="13"/>
  <c r="I146" i="13" s="1"/>
  <c r="J146" i="13" s="1"/>
  <c r="M145" i="13"/>
  <c r="M144" i="13"/>
  <c r="K144" i="13"/>
  <c r="I144" i="13" s="1"/>
  <c r="J144" i="13" s="1"/>
  <c r="M143" i="13"/>
  <c r="K143" i="13"/>
  <c r="I143" i="13" s="1"/>
  <c r="J143" i="13" s="1"/>
  <c r="M142" i="13"/>
  <c r="K142" i="13"/>
  <c r="I142" i="13" s="1"/>
  <c r="J142" i="13" s="1"/>
  <c r="M141" i="13"/>
  <c r="K141" i="13"/>
  <c r="I141" i="13" s="1"/>
  <c r="J141" i="13" s="1"/>
  <c r="M140" i="13"/>
  <c r="K140" i="13"/>
  <c r="I140" i="13" s="1"/>
  <c r="J140" i="13" s="1"/>
  <c r="M139" i="13"/>
  <c r="M138" i="13"/>
  <c r="K138" i="13"/>
  <c r="I138" i="13"/>
  <c r="J138" i="13" s="1"/>
  <c r="M137" i="13"/>
  <c r="K137" i="13"/>
  <c r="I137" i="13" s="1"/>
  <c r="J137" i="13" s="1"/>
  <c r="M136" i="13"/>
  <c r="K136" i="13"/>
  <c r="I136" i="13" s="1"/>
  <c r="J136" i="13" s="1"/>
  <c r="M135" i="13"/>
  <c r="K135" i="13"/>
  <c r="I135" i="13" s="1"/>
  <c r="J135" i="13" s="1"/>
  <c r="M134" i="13"/>
  <c r="K134" i="13"/>
  <c r="I134" i="13"/>
  <c r="J134" i="13" s="1"/>
  <c r="M133" i="13"/>
  <c r="K133" i="13"/>
  <c r="I133" i="13"/>
  <c r="J133" i="13" s="1"/>
  <c r="M132" i="13"/>
  <c r="K132" i="13"/>
  <c r="I132" i="13"/>
  <c r="J132" i="13" s="1"/>
  <c r="M131" i="13"/>
  <c r="K131" i="13"/>
  <c r="I131" i="13" s="1"/>
  <c r="J131" i="13" s="1"/>
  <c r="M130" i="13"/>
  <c r="K130" i="13"/>
  <c r="I130" i="13"/>
  <c r="J130" i="13" s="1"/>
  <c r="M129" i="13"/>
  <c r="K129" i="13"/>
  <c r="I129" i="13" s="1"/>
  <c r="J129" i="13" s="1"/>
  <c r="M128" i="13"/>
  <c r="K128" i="13"/>
  <c r="I128" i="13" s="1"/>
  <c r="J128" i="13" s="1"/>
  <c r="M127" i="13"/>
  <c r="K127" i="13"/>
  <c r="I127" i="13" s="1"/>
  <c r="J127" i="13" s="1"/>
  <c r="M126" i="13"/>
  <c r="K126" i="13"/>
  <c r="I126" i="13"/>
  <c r="J126" i="13" s="1"/>
  <c r="M125" i="13"/>
  <c r="K125" i="13"/>
  <c r="I125" i="13"/>
  <c r="J125" i="13" s="1"/>
  <c r="M124" i="13"/>
  <c r="K124" i="13"/>
  <c r="I124" i="13"/>
  <c r="J124" i="13" s="1"/>
  <c r="M123" i="13"/>
  <c r="K123" i="13"/>
  <c r="I123" i="13" s="1"/>
  <c r="J123" i="13" s="1"/>
  <c r="M122" i="13"/>
  <c r="K122" i="13"/>
  <c r="I122" i="13"/>
  <c r="J122" i="13" s="1"/>
  <c r="M121" i="13"/>
  <c r="K121" i="13"/>
  <c r="I121" i="13" s="1"/>
  <c r="J121" i="13" s="1"/>
  <c r="M120" i="13"/>
  <c r="K120" i="13"/>
  <c r="I120" i="13" s="1"/>
  <c r="J120" i="13" s="1"/>
  <c r="M119" i="13"/>
  <c r="M118" i="13"/>
  <c r="K118" i="13"/>
  <c r="J118" i="13"/>
  <c r="I118" i="13"/>
  <c r="M117" i="13"/>
  <c r="K117" i="13"/>
  <c r="I117" i="13"/>
  <c r="J117" i="13" s="1"/>
  <c r="M116" i="13"/>
  <c r="K116" i="13"/>
  <c r="J116" i="13"/>
  <c r="I116" i="13"/>
  <c r="M115" i="13"/>
  <c r="K115" i="13"/>
  <c r="I115" i="13"/>
  <c r="J115" i="13" s="1"/>
  <c r="M114" i="13"/>
  <c r="K114" i="13"/>
  <c r="J114" i="13"/>
  <c r="I114" i="13"/>
  <c r="M113" i="13"/>
  <c r="K113" i="13"/>
  <c r="I113" i="13"/>
  <c r="J113" i="13" s="1"/>
  <c r="M112" i="13"/>
  <c r="K112" i="13"/>
  <c r="J112" i="13"/>
  <c r="I112" i="13"/>
  <c r="M111" i="13"/>
  <c r="K111" i="13"/>
  <c r="I111" i="13"/>
  <c r="J111" i="13" s="1"/>
  <c r="M110" i="13"/>
  <c r="K110" i="13"/>
  <c r="J110" i="13"/>
  <c r="I110" i="13"/>
  <c r="M109" i="13"/>
  <c r="K109" i="13"/>
  <c r="I109" i="13"/>
  <c r="J109" i="13" s="1"/>
  <c r="M108" i="13"/>
  <c r="M107" i="13"/>
  <c r="K107" i="13"/>
  <c r="I107" i="13" s="1"/>
  <c r="J107" i="13" s="1"/>
  <c r="M106" i="13"/>
  <c r="K106" i="13"/>
  <c r="I106" i="13" s="1"/>
  <c r="J106" i="13" s="1"/>
  <c r="M105" i="13"/>
  <c r="K105" i="13"/>
  <c r="I105" i="13" s="1"/>
  <c r="J105" i="13"/>
  <c r="M104" i="13"/>
  <c r="K104" i="13"/>
  <c r="I104" i="13" s="1"/>
  <c r="J104" i="13" s="1"/>
  <c r="M103" i="13"/>
  <c r="K103" i="13"/>
  <c r="I103" i="13" s="1"/>
  <c r="J103" i="13" s="1"/>
  <c r="M102" i="13"/>
  <c r="K102" i="13"/>
  <c r="I102" i="13" s="1"/>
  <c r="J102" i="13"/>
  <c r="M101" i="13"/>
  <c r="K101" i="13"/>
  <c r="I101" i="13" s="1"/>
  <c r="J101" i="13" s="1"/>
  <c r="M100" i="13"/>
  <c r="K100" i="13"/>
  <c r="I100" i="13" s="1"/>
  <c r="J100" i="13" s="1"/>
  <c r="M99" i="13"/>
  <c r="K99" i="13"/>
  <c r="I99" i="13" s="1"/>
  <c r="J99" i="13" s="1"/>
  <c r="C99" i="13"/>
  <c r="M98" i="13"/>
  <c r="K98" i="13"/>
  <c r="I98" i="13" s="1"/>
  <c r="J98" i="13" s="1"/>
  <c r="C98" i="13"/>
  <c r="M97" i="13"/>
  <c r="K97" i="13"/>
  <c r="I97" i="13"/>
  <c r="J97" i="13" s="1"/>
  <c r="C97" i="13"/>
  <c r="M96" i="13"/>
  <c r="K96" i="13"/>
  <c r="I96" i="13" s="1"/>
  <c r="J96" i="13" s="1"/>
  <c r="C96" i="13"/>
  <c r="M95" i="13"/>
  <c r="K95" i="13"/>
  <c r="I95" i="13" s="1"/>
  <c r="J95" i="13" s="1"/>
  <c r="C95" i="13"/>
  <c r="M94" i="13"/>
  <c r="K94" i="13"/>
  <c r="I94" i="13" s="1"/>
  <c r="J94" i="13" s="1"/>
  <c r="M93" i="13"/>
  <c r="K93" i="13"/>
  <c r="I93" i="13" s="1"/>
  <c r="J93" i="13" s="1"/>
  <c r="M92" i="13"/>
  <c r="K92" i="13"/>
  <c r="I92" i="13" s="1"/>
  <c r="J92" i="13" s="1"/>
  <c r="M91" i="13"/>
  <c r="K91" i="13"/>
  <c r="I91" i="13" s="1"/>
  <c r="J91" i="13" s="1"/>
  <c r="M90" i="13"/>
  <c r="K90" i="13"/>
  <c r="I90" i="13" s="1"/>
  <c r="J90" i="13" s="1"/>
  <c r="M89" i="13"/>
  <c r="M88" i="13"/>
  <c r="K88" i="13"/>
  <c r="I88" i="13"/>
  <c r="J88" i="13" s="1"/>
  <c r="M87" i="13"/>
  <c r="K87" i="13"/>
  <c r="I87" i="13" s="1"/>
  <c r="J87" i="13" s="1"/>
  <c r="M86" i="13"/>
  <c r="K86" i="13"/>
  <c r="I86" i="13"/>
  <c r="J86" i="13" s="1"/>
  <c r="M85" i="13"/>
  <c r="K85" i="13"/>
  <c r="I85" i="13"/>
  <c r="J85" i="13" s="1"/>
  <c r="M84" i="13"/>
  <c r="K84" i="13"/>
  <c r="I84" i="13"/>
  <c r="J84" i="13" s="1"/>
  <c r="M83" i="13"/>
  <c r="I83" i="13"/>
  <c r="J83" i="13" s="1"/>
  <c r="M82" i="13"/>
  <c r="K82" i="13"/>
  <c r="I82" i="13"/>
  <c r="J82" i="13" s="1"/>
  <c r="M81" i="13"/>
  <c r="K81" i="13"/>
  <c r="M80" i="13"/>
  <c r="K80" i="13"/>
  <c r="M79" i="13"/>
  <c r="K79" i="13"/>
  <c r="I79" i="13"/>
  <c r="J79" i="13" s="1"/>
  <c r="M78" i="13"/>
  <c r="K78" i="13"/>
  <c r="I78" i="13" s="1"/>
  <c r="J78" i="13" s="1"/>
  <c r="M77" i="13"/>
  <c r="K77" i="13"/>
  <c r="I77" i="13"/>
  <c r="J77" i="13" s="1"/>
  <c r="M76" i="13"/>
  <c r="K76" i="13"/>
  <c r="I76" i="13"/>
  <c r="J76" i="13" s="1"/>
  <c r="M75" i="13"/>
  <c r="K75" i="13"/>
  <c r="I75" i="13"/>
  <c r="J75" i="13" s="1"/>
  <c r="M74" i="13"/>
  <c r="K74" i="13"/>
  <c r="I74" i="13" s="1"/>
  <c r="J74" i="13" s="1"/>
  <c r="M73" i="13"/>
  <c r="K73" i="13"/>
  <c r="I73" i="13"/>
  <c r="J73" i="13" s="1"/>
  <c r="M72" i="13"/>
  <c r="K72" i="13"/>
  <c r="I72" i="13" s="1"/>
  <c r="J72" i="13" s="1"/>
  <c r="M71" i="13"/>
  <c r="K71" i="13"/>
  <c r="I71" i="13"/>
  <c r="J71" i="13" s="1"/>
  <c r="M70" i="13"/>
  <c r="K70" i="13"/>
  <c r="I70" i="13" s="1"/>
  <c r="J70" i="13" s="1"/>
  <c r="M69" i="13"/>
  <c r="K69" i="13"/>
  <c r="I69" i="13"/>
  <c r="J69" i="13" s="1"/>
  <c r="M68" i="13"/>
  <c r="K68" i="13"/>
  <c r="I68" i="13"/>
  <c r="J68" i="13" s="1"/>
  <c r="M67" i="13"/>
  <c r="K67" i="13"/>
  <c r="I67" i="13"/>
  <c r="J67" i="13" s="1"/>
  <c r="M66" i="13"/>
  <c r="K66" i="13"/>
  <c r="I66" i="13" s="1"/>
  <c r="J66" i="13" s="1"/>
  <c r="M65" i="13"/>
  <c r="K65" i="13"/>
  <c r="I65" i="13"/>
  <c r="J65" i="13" s="1"/>
  <c r="M64" i="13"/>
  <c r="K64" i="13"/>
  <c r="I64" i="13" s="1"/>
  <c r="J64" i="13" s="1"/>
  <c r="M63" i="13"/>
  <c r="K63" i="13"/>
  <c r="I63" i="13"/>
  <c r="J63" i="13" s="1"/>
  <c r="M62" i="13"/>
  <c r="K62" i="13"/>
  <c r="I62" i="13" s="1"/>
  <c r="J62" i="13" s="1"/>
  <c r="M61" i="13"/>
  <c r="K61" i="13"/>
  <c r="I61" i="13"/>
  <c r="J61" i="13" s="1"/>
  <c r="M60" i="13"/>
  <c r="K60" i="13"/>
  <c r="I60" i="13"/>
  <c r="J60" i="13" s="1"/>
  <c r="M59" i="13"/>
  <c r="K59" i="13"/>
  <c r="I59" i="13"/>
  <c r="J59" i="13" s="1"/>
  <c r="M58" i="13"/>
  <c r="K58" i="13"/>
  <c r="I58" i="13" s="1"/>
  <c r="J58" i="13" s="1"/>
  <c r="M57" i="13"/>
  <c r="K57" i="13"/>
  <c r="I57" i="13"/>
  <c r="J57" i="13" s="1"/>
  <c r="M56" i="13"/>
  <c r="K56" i="13"/>
  <c r="I56" i="13" s="1"/>
  <c r="J56" i="13" s="1"/>
  <c r="M55" i="13"/>
  <c r="K55" i="13"/>
  <c r="I55" i="13"/>
  <c r="J55" i="13" s="1"/>
  <c r="M54" i="13"/>
  <c r="K54" i="13"/>
  <c r="I54" i="13" s="1"/>
  <c r="J54" i="13" s="1"/>
  <c r="M53" i="13"/>
  <c r="K53" i="13"/>
  <c r="I53" i="13"/>
  <c r="J53" i="13" s="1"/>
  <c r="M52" i="13"/>
  <c r="K52" i="13"/>
  <c r="I52" i="13"/>
  <c r="J52" i="13" s="1"/>
  <c r="M51" i="13"/>
  <c r="M50" i="13"/>
  <c r="K50" i="13"/>
  <c r="I50" i="13" s="1"/>
  <c r="J50" i="13" s="1"/>
  <c r="M49" i="13"/>
  <c r="K49" i="13"/>
  <c r="I49" i="13"/>
  <c r="J49" i="13" s="1"/>
  <c r="M48" i="13"/>
  <c r="K48" i="13"/>
  <c r="I48" i="13" s="1"/>
  <c r="J48" i="13" s="1"/>
  <c r="M47" i="13"/>
  <c r="K47" i="13"/>
  <c r="I47" i="13"/>
  <c r="J47" i="13" s="1"/>
  <c r="M46" i="13"/>
  <c r="K46" i="13"/>
  <c r="I46" i="13"/>
  <c r="J46" i="13" s="1"/>
  <c r="M45" i="13"/>
  <c r="K45" i="13"/>
  <c r="I45" i="13"/>
  <c r="J45" i="13" s="1"/>
  <c r="I43" i="13"/>
  <c r="J43" i="13" s="1"/>
  <c r="I41" i="13"/>
  <c r="J41" i="13" s="1"/>
  <c r="M40" i="13"/>
  <c r="M39" i="13"/>
  <c r="K39" i="13"/>
  <c r="I39" i="13" s="1"/>
  <c r="J39" i="13"/>
  <c r="M38" i="13"/>
  <c r="K38" i="13"/>
  <c r="I38" i="13" s="1"/>
  <c r="J38" i="13" s="1"/>
  <c r="M37" i="13"/>
  <c r="K37" i="13"/>
  <c r="I37" i="13" s="1"/>
  <c r="J37" i="13" s="1"/>
  <c r="M36" i="13"/>
  <c r="I36" i="13"/>
  <c r="J36" i="13"/>
  <c r="M35" i="13"/>
  <c r="K35" i="13"/>
  <c r="I35" i="13" s="1"/>
  <c r="J35" i="13" s="1"/>
  <c r="M34" i="13"/>
  <c r="K34" i="13"/>
  <c r="I34" i="13" s="1"/>
  <c r="J34" i="13"/>
  <c r="M33" i="13"/>
  <c r="K33" i="13"/>
  <c r="I33" i="13" s="1"/>
  <c r="J33" i="13" s="1"/>
  <c r="M32" i="13"/>
  <c r="K32" i="13"/>
  <c r="I32" i="13" s="1"/>
  <c r="J32" i="13" s="1"/>
  <c r="M31" i="13"/>
  <c r="K31" i="13"/>
  <c r="I31" i="13" s="1"/>
  <c r="J31" i="13"/>
  <c r="M30" i="13"/>
  <c r="K30" i="13"/>
  <c r="I30" i="13" s="1"/>
  <c r="J30" i="13" s="1"/>
  <c r="M29" i="13"/>
  <c r="K29" i="13"/>
  <c r="I29" i="13" s="1"/>
  <c r="J29" i="13" s="1"/>
  <c r="M28" i="13"/>
  <c r="K28" i="13"/>
  <c r="I28" i="13" s="1"/>
  <c r="J28" i="13"/>
  <c r="M27" i="13"/>
  <c r="K27" i="13"/>
  <c r="I27" i="13" s="1"/>
  <c r="J27" i="13" s="1"/>
  <c r="M26" i="13"/>
  <c r="K26" i="13"/>
  <c r="I26" i="13" s="1"/>
  <c r="J26" i="13"/>
  <c r="M25" i="13"/>
  <c r="K25" i="13"/>
  <c r="I25" i="13" s="1"/>
  <c r="J25" i="13" s="1"/>
  <c r="M24" i="13"/>
  <c r="K24" i="13"/>
  <c r="I24" i="13" s="1"/>
  <c r="J24" i="13" s="1"/>
  <c r="M23" i="13"/>
  <c r="K23" i="13"/>
  <c r="I23" i="13" s="1"/>
  <c r="J23" i="13"/>
  <c r="M22" i="13"/>
  <c r="K22" i="13"/>
  <c r="I22" i="13" s="1"/>
  <c r="J22" i="13" s="1"/>
  <c r="M21" i="13"/>
  <c r="K21" i="13"/>
  <c r="I21" i="13" s="1"/>
  <c r="J21" i="13" s="1"/>
  <c r="M20" i="13"/>
  <c r="K20" i="13"/>
  <c r="I20" i="13" s="1"/>
  <c r="J20" i="13"/>
  <c r="M19" i="13"/>
  <c r="K19" i="13"/>
  <c r="I19" i="13" s="1"/>
  <c r="J19" i="13" s="1"/>
  <c r="M18" i="13"/>
  <c r="K18" i="13"/>
  <c r="I18" i="13" s="1"/>
  <c r="J18" i="13"/>
  <c r="M17" i="13"/>
  <c r="K17" i="13"/>
  <c r="I17" i="13" s="1"/>
  <c r="J17" i="13" s="1"/>
  <c r="M16" i="13"/>
  <c r="K16" i="13"/>
  <c r="I16" i="13" s="1"/>
  <c r="J16" i="13" s="1"/>
  <c r="M15" i="13"/>
  <c r="K15" i="13"/>
  <c r="I15" i="13" s="1"/>
  <c r="J15" i="13"/>
  <c r="M14" i="13"/>
  <c r="M13" i="13"/>
  <c r="K13" i="13"/>
  <c r="I13" i="13"/>
  <c r="J13" i="13" s="1"/>
  <c r="M12" i="13"/>
  <c r="K12" i="13"/>
  <c r="I12" i="13" s="1"/>
  <c r="J12" i="13" s="1"/>
  <c r="M11" i="13"/>
  <c r="K11" i="13"/>
  <c r="I11" i="13"/>
  <c r="J11" i="13" s="1"/>
  <c r="M10" i="13"/>
  <c r="K10" i="13"/>
  <c r="I10" i="13" s="1"/>
  <c r="J10" i="13" s="1"/>
  <c r="M9" i="13"/>
  <c r="K9" i="13"/>
  <c r="I9" i="13"/>
  <c r="J9" i="13" s="1"/>
  <c r="M8" i="13"/>
  <c r="K8" i="13"/>
  <c r="I8" i="13" s="1"/>
  <c r="J8" i="13" s="1"/>
  <c r="M7" i="13"/>
  <c r="K7" i="13"/>
  <c r="I7" i="13" s="1"/>
  <c r="J7" i="13" s="1"/>
  <c r="M6" i="13"/>
  <c r="K6" i="13"/>
  <c r="I6" i="13"/>
  <c r="J6" i="13" s="1"/>
  <c r="M5" i="13"/>
  <c r="K5" i="13"/>
  <c r="I5" i="13" s="1"/>
  <c r="J5" i="13" s="1"/>
  <c r="M4" i="13"/>
  <c r="K4" i="13"/>
  <c r="I4" i="13"/>
  <c r="J4" i="13" s="1"/>
  <c r="M3" i="13"/>
  <c r="K3" i="13"/>
  <c r="I3" i="13" s="1"/>
  <c r="J3" i="13" s="1"/>
  <c r="E30" i="11" l="1"/>
  <c r="O12" i="13"/>
  <c r="O13" i="13"/>
  <c r="O16" i="13"/>
  <c r="P32" i="13"/>
  <c r="O185" i="13"/>
  <c r="O184" i="13"/>
  <c r="O183" i="13"/>
  <c r="O182" i="13"/>
  <c r="E22" i="11" l="1"/>
  <c r="C77" i="12" l="1"/>
  <c r="F40" i="16" l="1"/>
  <c r="F41" i="16" s="1"/>
  <c r="F42" i="16" s="1"/>
  <c r="F37" i="16"/>
  <c r="F38" i="16" s="1"/>
  <c r="F39" i="16" s="1"/>
  <c r="F17" i="16" l="1"/>
  <c r="F18" i="16" s="1"/>
  <c r="F19" i="16" s="1"/>
  <c r="F46" i="16" l="1"/>
  <c r="F47" i="16" s="1"/>
  <c r="F48" i="16" s="1"/>
  <c r="F43" i="16"/>
  <c r="F44" i="16" s="1"/>
  <c r="F45" i="16" s="1"/>
  <c r="F34" i="16" l="1"/>
  <c r="F35" i="16" s="1"/>
  <c r="F36" i="16" s="1"/>
  <c r="F31" i="16"/>
  <c r="F32" i="16" s="1"/>
  <c r="F33" i="16" s="1"/>
  <c r="F28" i="16" l="1"/>
  <c r="F29" i="16" s="1"/>
  <c r="F30" i="16" s="1"/>
  <c r="F25" i="16"/>
  <c r="F26" i="16" s="1"/>
  <c r="F27" i="16" s="1"/>
  <c r="F21" i="16" l="1"/>
  <c r="F22" i="16" s="1"/>
  <c r="F23" i="16" s="1"/>
  <c r="F14" i="16" l="1"/>
  <c r="F15" i="16" s="1"/>
  <c r="F16" i="16" s="1"/>
  <c r="F10" i="16"/>
  <c r="F11" i="16" s="1"/>
  <c r="F12" i="16" s="1"/>
  <c r="F6" i="16" l="1"/>
  <c r="F7" i="16" s="1"/>
  <c r="F8" i="16" s="1"/>
  <c r="F2" i="16"/>
  <c r="F3" i="16" s="1"/>
  <c r="F4" i="16" s="1"/>
  <c r="E20" i="11" l="1"/>
  <c r="H40" i="11" l="1"/>
  <c r="C22" i="12" l="1"/>
  <c r="C23" i="12"/>
  <c r="C24" i="12"/>
  <c r="C25" i="12"/>
  <c r="C26" i="12"/>
  <c r="C27" i="12"/>
  <c r="C28" i="12"/>
  <c r="C29" i="12"/>
  <c r="C30" i="12"/>
  <c r="C31" i="12"/>
  <c r="C32" i="12"/>
  <c r="C33" i="12"/>
  <c r="C34" i="12"/>
  <c r="C35" i="12"/>
  <c r="C36" i="12"/>
  <c r="C37" i="12"/>
  <c r="C38" i="12"/>
  <c r="C39" i="12"/>
  <c r="C40" i="12"/>
  <c r="C41" i="12"/>
  <c r="C42" i="12"/>
  <c r="C43" i="12"/>
  <c r="C44" i="12"/>
  <c r="C21" i="12"/>
  <c r="E16" i="12" s="1"/>
  <c r="B44" i="12" l="1"/>
  <c r="D44" i="12"/>
  <c r="E44" i="12" l="1"/>
  <c r="B43" i="12"/>
  <c r="AB29" i="11" l="1"/>
  <c r="AB30" i="11"/>
  <c r="AB10" i="11"/>
  <c r="AB9" i="11"/>
  <c r="I30" i="11" l="1"/>
  <c r="AB28" i="11"/>
  <c r="I28" i="11" s="1"/>
  <c r="AB27" i="11"/>
  <c r="I27" i="11" s="1"/>
  <c r="AB26" i="11"/>
  <c r="I26" i="11" s="1"/>
  <c r="J26" i="11" s="1"/>
  <c r="I29" i="11"/>
  <c r="AB8" i="11"/>
  <c r="I9" i="11"/>
  <c r="I10" i="11"/>
  <c r="AB12" i="11"/>
  <c r="I12" i="11" s="1"/>
  <c r="AB13" i="11"/>
  <c r="I13" i="11" s="1"/>
  <c r="AB14" i="11"/>
  <c r="I14" i="11" s="1"/>
  <c r="AB15" i="11"/>
  <c r="I15" i="11" s="1"/>
  <c r="AB16" i="11"/>
  <c r="I16" i="11" s="1"/>
  <c r="AB17" i="11"/>
  <c r="I17" i="11" s="1"/>
  <c r="AB18" i="11"/>
  <c r="I18" i="11" s="1"/>
  <c r="AB19" i="11"/>
  <c r="I19" i="11" s="1"/>
  <c r="AB20" i="11"/>
  <c r="I20" i="11" s="1"/>
  <c r="AB21" i="11"/>
  <c r="I21" i="11" s="1"/>
  <c r="AB22" i="11"/>
  <c r="I22" i="11" s="1"/>
  <c r="AB23" i="11"/>
  <c r="I23" i="11" s="1"/>
  <c r="AB24" i="11"/>
  <c r="I24" i="11" s="1"/>
  <c r="W9" i="11"/>
  <c r="W10" i="11"/>
  <c r="W11" i="11"/>
  <c r="W12" i="11"/>
  <c r="W13" i="11"/>
  <c r="W14" i="11"/>
  <c r="W15" i="11"/>
  <c r="W16" i="11"/>
  <c r="W17" i="11"/>
  <c r="W18" i="11"/>
  <c r="W19" i="11"/>
  <c r="W20" i="11"/>
  <c r="W21" i="11"/>
  <c r="W22" i="11"/>
  <c r="W23" i="11"/>
  <c r="W24" i="11"/>
  <c r="W25" i="11"/>
  <c r="W26" i="11"/>
  <c r="W27" i="11"/>
  <c r="W28" i="11"/>
  <c r="W29" i="11"/>
  <c r="W30" i="11"/>
  <c r="AA12" i="11" l="1"/>
  <c r="G12" i="11" s="1"/>
  <c r="H12" i="11" s="1"/>
  <c r="E24" i="11" l="1"/>
  <c r="B37" i="12" s="1"/>
  <c r="J30" i="11" l="1"/>
  <c r="J24" i="11" l="1"/>
  <c r="E25" i="11"/>
  <c r="B38" i="12" s="1"/>
  <c r="J29" i="11" l="1"/>
  <c r="E29" i="11"/>
  <c r="B42" i="12" s="1"/>
  <c r="J28" i="11"/>
  <c r="E28" i="11"/>
  <c r="B41" i="12" s="1"/>
  <c r="AA29" i="11" l="1"/>
  <c r="G29" i="11" s="1"/>
  <c r="D42" i="12" s="1"/>
  <c r="E42" i="12" s="1"/>
  <c r="AA26" i="11"/>
  <c r="G26" i="11" s="1"/>
  <c r="D39" i="12" s="1"/>
  <c r="H26" i="11" l="1"/>
  <c r="H29" i="11"/>
  <c r="I102" i="15" l="1"/>
  <c r="K98" i="15" s="1"/>
  <c r="H102" i="15"/>
  <c r="I101" i="15"/>
  <c r="G101" i="15" s="1"/>
  <c r="H101" i="15" s="1"/>
  <c r="I100" i="15"/>
  <c r="G100" i="15" s="1"/>
  <c r="H100" i="15" s="1"/>
  <c r="I99" i="15"/>
  <c r="G99" i="15" s="1"/>
  <c r="H99" i="15" s="1"/>
  <c r="I98" i="15"/>
  <c r="G98" i="15" s="1"/>
  <c r="H98" i="15" s="1"/>
  <c r="I97" i="15"/>
  <c r="G97" i="15" s="1"/>
  <c r="H97" i="15" s="1"/>
  <c r="I96" i="15"/>
  <c r="G96" i="15" s="1"/>
  <c r="H96" i="15" s="1"/>
  <c r="I95" i="15"/>
  <c r="G95" i="15" s="1"/>
  <c r="H95" i="15" s="1"/>
  <c r="H94" i="15"/>
  <c r="H93" i="15"/>
  <c r="H92" i="15"/>
  <c r="H91" i="15"/>
  <c r="H90" i="15"/>
  <c r="H89" i="15"/>
  <c r="H88" i="15"/>
  <c r="H87" i="15"/>
  <c r="H86" i="15"/>
  <c r="H85" i="15"/>
  <c r="H84" i="15"/>
  <c r="H83" i="15"/>
  <c r="H82" i="15"/>
  <c r="I81" i="15"/>
  <c r="G81" i="15" s="1"/>
  <c r="H81" i="15" s="1"/>
  <c r="I80" i="15"/>
  <c r="G80" i="15" s="1"/>
  <c r="H80" i="15" s="1"/>
  <c r="I74" i="15"/>
  <c r="K70" i="15" s="1"/>
  <c r="H74" i="15"/>
  <c r="I73" i="15"/>
  <c r="G73" i="15" s="1"/>
  <c r="H73" i="15" s="1"/>
  <c r="I72" i="15"/>
  <c r="G72" i="15" s="1"/>
  <c r="H72" i="15" s="1"/>
  <c r="I71" i="15"/>
  <c r="G71" i="15" s="1"/>
  <c r="H71" i="15" s="1"/>
  <c r="I70" i="15"/>
  <c r="G70" i="15" s="1"/>
  <c r="H70" i="15" s="1"/>
  <c r="I69" i="15"/>
  <c r="G69" i="15" s="1"/>
  <c r="H69" i="15" s="1"/>
  <c r="I68" i="15"/>
  <c r="G68" i="15" s="1"/>
  <c r="H68" i="15" s="1"/>
  <c r="I67" i="15"/>
  <c r="G67" i="15" s="1"/>
  <c r="H67" i="15" s="1"/>
  <c r="H66" i="15"/>
  <c r="H65" i="15"/>
  <c r="H64" i="15"/>
  <c r="H63" i="15"/>
  <c r="H62" i="15"/>
  <c r="H61" i="15"/>
  <c r="H60" i="15"/>
  <c r="H59" i="15"/>
  <c r="H58" i="15"/>
  <c r="H57" i="15"/>
  <c r="H56" i="15"/>
  <c r="H55" i="15"/>
  <c r="H54" i="15"/>
  <c r="I53" i="15"/>
  <c r="G53" i="15" s="1"/>
  <c r="H53" i="15" s="1"/>
  <c r="I52" i="15"/>
  <c r="G52" i="15" s="1"/>
  <c r="H52" i="15" s="1"/>
  <c r="K50" i="15"/>
  <c r="K49" i="15"/>
  <c r="I47" i="15"/>
  <c r="G47" i="15" s="1"/>
  <c r="H47" i="15" s="1"/>
  <c r="K43" i="15" s="1"/>
  <c r="I46" i="15"/>
  <c r="G46" i="15" s="1"/>
  <c r="H46" i="15" s="1"/>
  <c r="K42" i="15" s="1"/>
  <c r="I45" i="15"/>
  <c r="G45" i="15" s="1"/>
  <c r="H45" i="15" s="1"/>
  <c r="K41" i="15" s="1"/>
  <c r="I44" i="15"/>
  <c r="G44" i="15" s="1"/>
  <c r="H44" i="15" s="1"/>
  <c r="K40" i="15" s="1"/>
  <c r="I43" i="15"/>
  <c r="G43" i="15" s="1"/>
  <c r="H43" i="15" s="1"/>
  <c r="K39" i="15" s="1"/>
  <c r="I42" i="15"/>
  <c r="G42" i="15" s="1"/>
  <c r="H42" i="15" s="1"/>
  <c r="K38" i="15" s="1"/>
  <c r="I41" i="15"/>
  <c r="G41" i="15" s="1"/>
  <c r="H41" i="15" s="1"/>
  <c r="K37" i="15" s="1"/>
  <c r="I40" i="15"/>
  <c r="G40" i="15" s="1"/>
  <c r="H40" i="15" s="1"/>
  <c r="K36" i="15" s="1"/>
  <c r="I39" i="15"/>
  <c r="G39" i="15" s="1"/>
  <c r="H39" i="15" s="1"/>
  <c r="K35" i="15" s="1"/>
  <c r="I38" i="15"/>
  <c r="G38" i="15" s="1"/>
  <c r="H38" i="15" s="1"/>
  <c r="K34" i="15" s="1"/>
  <c r="I37" i="15"/>
  <c r="G37" i="15" s="1"/>
  <c r="H37" i="15" s="1"/>
  <c r="K33" i="15" s="1"/>
  <c r="I36" i="15"/>
  <c r="G36" i="15" s="1"/>
  <c r="H36" i="15" s="1"/>
  <c r="K32" i="15" s="1"/>
  <c r="I35" i="15"/>
  <c r="G35" i="15" s="1"/>
  <c r="H35" i="15" s="1"/>
  <c r="I34" i="15"/>
  <c r="G34" i="15" s="1"/>
  <c r="H34" i="15" s="1"/>
  <c r="I31" i="15"/>
  <c r="K27" i="15" s="1"/>
  <c r="H31" i="15"/>
  <c r="I30" i="15"/>
  <c r="G30" i="15" s="1"/>
  <c r="H30" i="15" s="1"/>
  <c r="I29" i="15"/>
  <c r="G29" i="15" s="1"/>
  <c r="H29" i="15" s="1"/>
  <c r="I28" i="15"/>
  <c r="G28" i="15" s="1"/>
  <c r="H28" i="15" s="1"/>
  <c r="I27" i="15"/>
  <c r="G27" i="15" s="1"/>
  <c r="H27" i="15" s="1"/>
  <c r="I26" i="15"/>
  <c r="G26" i="15" s="1"/>
  <c r="H26" i="15" s="1"/>
  <c r="I25" i="15"/>
  <c r="G25" i="15" s="1"/>
  <c r="H25" i="15" s="1"/>
  <c r="I24" i="15"/>
  <c r="G24" i="15" s="1"/>
  <c r="H24" i="15" s="1"/>
  <c r="H23" i="15"/>
  <c r="H22" i="15"/>
  <c r="H21" i="15"/>
  <c r="H20" i="15"/>
  <c r="H19" i="15"/>
  <c r="H18" i="15"/>
  <c r="H17" i="15"/>
  <c r="I16" i="15"/>
  <c r="G16" i="15" s="1"/>
  <c r="H16" i="15" s="1"/>
  <c r="I15" i="15"/>
  <c r="G15" i="15" s="1"/>
  <c r="H15" i="15" s="1"/>
  <c r="H14" i="15"/>
  <c r="H13" i="15"/>
  <c r="H12" i="15"/>
  <c r="K11" i="15"/>
  <c r="H11" i="15"/>
  <c r="H10" i="15"/>
  <c r="H9" i="15"/>
  <c r="I7" i="15"/>
  <c r="G7" i="15" s="1"/>
  <c r="H7" i="15" s="1"/>
  <c r="I6" i="15"/>
  <c r="G6" i="15" s="1"/>
  <c r="H6" i="15" s="1"/>
  <c r="I5" i="15"/>
  <c r="G5" i="15" s="1"/>
  <c r="H5" i="15" s="1"/>
  <c r="I4" i="15"/>
  <c r="G4" i="15" s="1"/>
  <c r="H4" i="15" s="1"/>
  <c r="I3" i="15"/>
  <c r="G3" i="15" s="1"/>
  <c r="H3" i="15" s="1"/>
  <c r="G2" i="15"/>
  <c r="H2" i="15" s="1"/>
  <c r="K31" i="15" l="1"/>
  <c r="K48" i="15"/>
  <c r="K44" i="15" l="1"/>
  <c r="K46" i="15" s="1"/>
  <c r="W8" i="11" l="1"/>
  <c r="E8" i="11"/>
  <c r="B21" i="12" s="1"/>
  <c r="I7" i="11"/>
  <c r="J7" i="11" s="1"/>
  <c r="J16" i="11"/>
  <c r="J22" i="11"/>
  <c r="I35" i="11"/>
  <c r="E27" i="11"/>
  <c r="B40" i="12" s="1"/>
  <c r="E26" i="11"/>
  <c r="B39" i="12" s="1"/>
  <c r="E23" i="11"/>
  <c r="B36" i="12" s="1"/>
  <c r="B35" i="12"/>
  <c r="E21" i="11"/>
  <c r="B34" i="12" s="1"/>
  <c r="E19" i="11"/>
  <c r="B32" i="12" s="1"/>
  <c r="E18" i="11"/>
  <c r="B31" i="12" s="1"/>
  <c r="E17" i="11"/>
  <c r="E16" i="11"/>
  <c r="E15" i="11"/>
  <c r="E14" i="11"/>
  <c r="E13" i="11"/>
  <c r="E12" i="11"/>
  <c r="E10" i="11"/>
  <c r="E11" i="11"/>
  <c r="E9" i="11"/>
  <c r="B22" i="12" s="1"/>
  <c r="J17" i="11"/>
  <c r="J13" i="11"/>
  <c r="J18" i="11"/>
  <c r="J21" i="11"/>
  <c r="J23" i="11"/>
  <c r="J27" i="11"/>
  <c r="D15" i="12"/>
  <c r="H4" i="11"/>
  <c r="E5" i="11" s="1"/>
  <c r="E8" i="12"/>
  <c r="D4" i="11"/>
  <c r="AA28" i="11"/>
  <c r="G28" i="11" s="1"/>
  <c r="AA17" i="11"/>
  <c r="G17" i="11" s="1"/>
  <c r="H17" i="11" l="1"/>
  <c r="AA27" i="11"/>
  <c r="G27" i="11" s="1"/>
  <c r="D40" i="12" s="1"/>
  <c r="E40" i="12" s="1"/>
  <c r="H28" i="11"/>
  <c r="D41" i="12"/>
  <c r="B33" i="12"/>
  <c r="B29" i="12"/>
  <c r="B25" i="12"/>
  <c r="B30" i="12"/>
  <c r="B23" i="12"/>
  <c r="B24" i="12"/>
  <c r="B26" i="12"/>
  <c r="B27" i="12"/>
  <c r="B28" i="12"/>
  <c r="AA13" i="11"/>
  <c r="G13" i="11" s="1"/>
  <c r="H13" i="11" s="1"/>
  <c r="AA24" i="11"/>
  <c r="G24" i="11" s="1"/>
  <c r="D37" i="12" s="1"/>
  <c r="AA14" i="11"/>
  <c r="G14" i="11" s="1"/>
  <c r="H14" i="11" s="1"/>
  <c r="AA16" i="11"/>
  <c r="G16" i="11" s="1"/>
  <c r="AA8" i="11"/>
  <c r="G8" i="11" s="1"/>
  <c r="D21" i="12" s="1"/>
  <c r="AA20" i="11"/>
  <c r="G20" i="11" s="1"/>
  <c r="H20" i="11" s="1"/>
  <c r="AA22" i="11"/>
  <c r="G22" i="11" s="1"/>
  <c r="AA19" i="11"/>
  <c r="G19" i="11" s="1"/>
  <c r="H19" i="11" s="1"/>
  <c r="AA21" i="11"/>
  <c r="G21" i="11" s="1"/>
  <c r="AA10" i="11"/>
  <c r="G10" i="11" s="1"/>
  <c r="H10" i="11" s="1"/>
  <c r="AA18" i="11"/>
  <c r="AA23" i="11"/>
  <c r="G23" i="11" s="1"/>
  <c r="AA15" i="11"/>
  <c r="G15" i="11" s="1"/>
  <c r="H15" i="11" s="1"/>
  <c r="AA9" i="11"/>
  <c r="J14" i="11"/>
  <c r="J15" i="11"/>
  <c r="J10" i="11"/>
  <c r="J12" i="11"/>
  <c r="J19" i="11"/>
  <c r="J9" i="11"/>
  <c r="J20" i="11"/>
  <c r="I8" i="11"/>
  <c r="J8" i="11" s="1"/>
  <c r="H5" i="11"/>
  <c r="A16" i="12"/>
  <c r="H27" i="11" l="1"/>
  <c r="H21" i="11"/>
  <c r="D34" i="12"/>
  <c r="E34" i="12" s="1"/>
  <c r="D38" i="12"/>
  <c r="H22" i="11"/>
  <c r="D35" i="12"/>
  <c r="E35" i="12" s="1"/>
  <c r="H23" i="11"/>
  <c r="D36" i="12"/>
  <c r="E36" i="12" s="1"/>
  <c r="H16" i="11"/>
  <c r="H24" i="11"/>
  <c r="D33" i="12"/>
  <c r="E33" i="12" s="1"/>
  <c r="D32" i="12"/>
  <c r="E32" i="12" s="1"/>
  <c r="G9" i="11"/>
  <c r="H9" i="11" s="1"/>
  <c r="G18" i="11"/>
  <c r="D25" i="12" s="1"/>
  <c r="E25" i="12" s="1"/>
  <c r="D24" i="12"/>
  <c r="D27" i="12"/>
  <c r="E27" i="12" s="1"/>
  <c r="E21" i="12"/>
  <c r="E41" i="12"/>
  <c r="J35" i="11"/>
  <c r="H8" i="11"/>
  <c r="B17" i="12"/>
  <c r="E17" i="12" s="1"/>
  <c r="E13" i="12"/>
  <c r="D26" i="12" l="1"/>
  <c r="E26" i="12" s="1"/>
  <c r="H18" i="11"/>
  <c r="D31" i="12"/>
  <c r="E31" i="12" s="1"/>
  <c r="D22" i="12"/>
  <c r="E22" i="12" s="1"/>
  <c r="E37" i="12"/>
  <c r="E38" i="12"/>
  <c r="E39" i="12"/>
  <c r="E24" i="12"/>
  <c r="G25" i="11" l="1"/>
  <c r="H25" i="11" s="1"/>
  <c r="I25" i="11"/>
  <c r="J25" i="11" s="1"/>
  <c r="AB25" i="11"/>
  <c r="AA25" i="11" l="1"/>
  <c r="D43" i="12"/>
  <c r="E43" i="12" s="1"/>
  <c r="AA30" i="11" l="1"/>
  <c r="G30" i="11" s="1"/>
  <c r="D28" i="12" l="1"/>
  <c r="E28" i="12" s="1"/>
  <c r="D30" i="12"/>
  <c r="E30" i="12" s="1"/>
  <c r="D29" i="12"/>
  <c r="E29" i="12" s="1"/>
  <c r="H30" i="11"/>
  <c r="AB11" i="11"/>
  <c r="I11" i="11" s="1"/>
  <c r="J11" i="11" s="1"/>
  <c r="K44" i="13"/>
  <c r="I44" i="13" s="1"/>
  <c r="J44" i="13" l="1"/>
  <c r="AA11" i="11"/>
  <c r="G11" i="11" s="1"/>
  <c r="H11" i="11" s="1"/>
  <c r="H31" i="11" s="1"/>
  <c r="H32" i="11" s="1"/>
  <c r="H33" i="11" s="1"/>
  <c r="H34" i="11" s="1"/>
  <c r="H35" i="11" s="1"/>
  <c r="D23" i="12" l="1"/>
  <c r="E23" i="12" s="1"/>
  <c r="E45" i="12" s="1"/>
  <c r="E46" i="12" s="1"/>
  <c r="E47" i="12" s="1"/>
  <c r="E48" i="12" s="1"/>
  <c r="E49" i="12" s="1"/>
  <c r="E50" i="12" s="1"/>
  <c r="H36" i="11"/>
  <c r="H37" i="11" s="1"/>
  <c r="E61" i="12" l="1"/>
  <c r="E59" i="12"/>
</calcChain>
</file>

<file path=xl/sharedStrings.xml><?xml version="1.0" encoding="utf-8"?>
<sst xmlns="http://schemas.openxmlformats.org/spreadsheetml/2006/main" count="1808" uniqueCount="772">
  <si>
    <t>Programador remoto infrarrojo para controles de carga CIS.</t>
  </si>
  <si>
    <t>MATE-2</t>
  </si>
  <si>
    <t>MATE-3</t>
  </si>
  <si>
    <t>HUB-4</t>
  </si>
  <si>
    <t>HUB-10</t>
  </si>
  <si>
    <t>Lámpara de LED's de 90W para luminarias solares en iluminación exterior, 8,000 lúmenes, 24VCD, 4A, súper eficiente.</t>
  </si>
  <si>
    <t>Soporte de aluminio tipo escuadra para módulo de 50 W (par), incluye tornillería</t>
  </si>
  <si>
    <t>Soporte de aluminio tipo escuadra para módulo de 100 W (par), incluye tornillería</t>
  </si>
  <si>
    <t>Soporte tubular con inclinación/orientación ajustable para un módulo (50W a 150 W). Incluye: Tubo acero galvanizado de 3 m altura (ced.30, 60 mm. diam), cabezal inoxidable, travesaño "T" + largueros galvanizados, abrazadera, tornillería</t>
  </si>
  <si>
    <t>Soporte tubular con inclinación/orientación ajustable para dos módulos (50W a 150 W). Incluye: Tubo acero galvanizado de 3 m altura (ced.30, 60 mm. diam), cabeza inoxidable, travesaño "T" + largueros galvanizados, abrazadera, puntal, tornillería.</t>
  </si>
  <si>
    <t>Convertidor CD/CD de 1.5 A, 12 V a 9V, 7.5V, 6V, 4.5V, 3V, en gabinete anticorrosión, con fusible electrónico de restablecimiento automático, indicador de encendido, cable con conector múltiple y clips para conexión a aparatos alimentados.</t>
  </si>
  <si>
    <t>Gabinete plástico profesional para una batería 31H, resistente a la corrosión, con salidas de ventilación, salida de cableado, cinto de seguridad, contención de derrames, agarraderas y asiento de neopreno para las baterías. Garantía de 10 años.</t>
  </si>
  <si>
    <t>CNX-LS30-100</t>
  </si>
  <si>
    <t>Luminaria Solar con lámpara de LEDs de 2500 lm de 30W de potencia, con un módulo solar de 100 W, para 10 horas de operación por noche: Poste recto de 6 m de altura, gabinete metálico para batería apropiado para intemperie, con aislamiento térmico para proteger la vida de las mismas incluye además el control de carga con programación digital, precableado. Una batería libre mantenimiento con 3.5 días de autonomía. Espaciamiento entre luminarias: 15m.</t>
  </si>
  <si>
    <t>CNX-LS30-150</t>
  </si>
  <si>
    <t>Luminaria Solar con lámpara de LEDs de 2500 lm de 30W de potencia, con arreglo solar de 150 W, para operación toda la noche. Incluye poste recto de 6 m de altura, gabinete metálico para batería apropiado para intemperie, con aislamiento térmico para proteger la vida de las mismas, aloja además el control de carga con programación digital, precableado. Dos baterías libre mantenimiento para 6 días de autonomía. Espaciamiento entre luminarias: 15m.</t>
  </si>
  <si>
    <t>Luminaria Solar de brazo doble con dos lámparas de LEDs de 2500 lm, 30W de potencia cada una, arreglo solar de 300 W para operación toda la noche. Poste cónico de 6 m de altura, dos gabinetes metálicos para baterías apropiado para intemperie, con aislamiento térmico para proteger la vida de las mismas, aloja además el control de carga con programación digital, precableado. Tres baterías libre mantenimiento con 4 días de autonomía. Espaciamiento entre luminarias: 15 m.</t>
  </si>
  <si>
    <t>CNX-LD48-100</t>
  </si>
  <si>
    <t>Luminaria Solar con lámpara de LEDs de 4600 lm con 55 W de potencia, un panel solar de 100 Wp, para 6 horas de operación cada noche. Poste cónico de 8 m de altura, gabinete metálico para baterías y control, apropiado para intemperie, con aislamiento térmico para proteger la vida de las mismas, aloja admás el control de carga con programación digital, precableado. Dos batería libre mantenimiento para 6.5 días de autonomía. Espaciamiento entre luminarias: 25m. OPERACION A 12V</t>
  </si>
  <si>
    <t>CNX-LD48-250</t>
  </si>
  <si>
    <t>Luminaria Solar con Lámpara de LEDs de 4600 lm con 55 W de potencia, panel solar de 250 W, para operación toda la noche. Poste cónico de 8 m de altura, gabinete metálico para baterías y control, apropiado para intemperie, con aislamiento térmico para proteger la vida de las mismas, aloja el control de carga con programación digital, precableado. Dos baterías libre mantenimiento con 3.2 días de autonomía. Espaciamiento entre luminarias: 25 m.</t>
  </si>
  <si>
    <t>Luminaria Solar doble con dos lámpara de LEDs de 4600 lm con 55 W de potencia cada una, arreglo solar de 500 W, para operación toda la noche. Poste cónico de 8 m de altura reforzado para recibir el tamaño de arreglo solar, gabinetes metálico para baterías y control, apropiado para intemperie, con aislamiento térmico para proteger la vida de las mismas, aloja el control de carga con programación digital, precableado. Cuatro baterías libre mantenimiento con 3.2 días de autonomía. Espaciamiento entre luminarias: 25 m.</t>
  </si>
  <si>
    <t>CNX-SPL90-250</t>
  </si>
  <si>
    <t>Luminaria Solar con Lámpara de LED’s de 90 W, potencia lumínica 8,000 lm, arreglo solar de 250 Wp para operar 9 horas por noche. Poste cónico de 11 m de altura, gabinete metálico para baterías y control, galvanizado y recubierto de poliéster, con aislamiento térmico para proteger la vida de las mismas, apropiado para intemperie. Dos baterías libre mantenimiento para un respaldo de 3 días. Espaciamiento recomendado entre luminarias: 35 m</t>
  </si>
  <si>
    <t>CNX-SPL90-500</t>
  </si>
  <si>
    <t>Luminaria Solar con Lámpara de LED’s de 90 W, potencia lumínica 8,000 lm, arreglo solar de 500 Wp para operar toda la noche. Poste cónico de 11 m de altura reforzado para recibir el arreglo solar de gran tamaño. Gabinete metálico para baterías y control, galvanizado y recubierto de poliéster, apropiado para intemperie y con aislamiento térmico para proteger la vida de las mismas. Cuatro baterías libre mantenimiento para 3 días de automnomía. Espaciamiento recomendado entre luminarias: 35 m</t>
  </si>
  <si>
    <t>CNX-REF50</t>
  </si>
  <si>
    <t>CNX-REF165</t>
  </si>
  <si>
    <t>CNX-REF225</t>
  </si>
  <si>
    <t>Cable fotovoltaico RHHW doble aislamiento, 600V, 10AWG</t>
  </si>
  <si>
    <t>MC4-M</t>
  </si>
  <si>
    <t>Conector macho MC4 para módulo.</t>
  </si>
  <si>
    <t>MC4-H</t>
  </si>
  <si>
    <t>Conector hembra MC4 para módulo</t>
  </si>
  <si>
    <t>MC4-Y-H</t>
  </si>
  <si>
    <t>Conector MC4 de derivación (Y), hembra.</t>
  </si>
  <si>
    <t>MC4-Y-M</t>
  </si>
  <si>
    <t>Conector MC4 de derivación (Y), macho</t>
  </si>
  <si>
    <t>SC-P4AM</t>
  </si>
  <si>
    <t>Conector MC4 macho para gabinete</t>
  </si>
  <si>
    <t>SC-P4AH</t>
  </si>
  <si>
    <t>Conector MC4 hembra para gabinete</t>
  </si>
  <si>
    <t>Pinza para aplicar conector MC4</t>
  </si>
  <si>
    <t>Llave para ensamble de conector MC4</t>
  </si>
  <si>
    <t>MeRad</t>
  </si>
  <si>
    <t>Medidor de radiación solar Tenmars</t>
  </si>
  <si>
    <t>LA 302-DC</t>
  </si>
  <si>
    <t>Supresor de picos de voltaje para CD (Lighting Arrestor), 500 V max, 2000 Joules por línea.</t>
  </si>
  <si>
    <t>LA 302-CA</t>
  </si>
  <si>
    <t>Supresor de picos de voltaje para CA (Lighting Arrestor), 2 fases, 500 V max.</t>
  </si>
  <si>
    <t>TOTAL</t>
  </si>
  <si>
    <t>CNX-2LS30-301</t>
  </si>
  <si>
    <t>CNX-2LD48-501</t>
  </si>
  <si>
    <t>CFV-11</t>
  </si>
  <si>
    <t>P-MC5</t>
  </si>
  <si>
    <t>SC-T003</t>
  </si>
  <si>
    <t>Ray</t>
  </si>
  <si>
    <t xml:space="preserve">Para Rayo Tipo KDA 01 INCLUYE: 1 Sistema Integrado, Mastil de 9 mts de Altura  en torre metalica  Ancla de 20x20X80 cm tipo Visagra, Reguilete de Cobre, Compuesto para Aterrizaje, Cable Desnudo calibre 1-0  Para una covertura de 160 metros de diametro  </t>
  </si>
  <si>
    <t xml:space="preserve">Para Rayo Tipo KDA 03 INCLUYE: 1 Sistema Integrado, Mastil de 9 mts de Altura  en torre metalica  Ancla de 20x20X80 cm tipo Visagra, Reguilete de Cobre, Compuesto para Aterrizaje, Cable Desnudo calibre 2-0  Para una covertura de 200 metros de diametro  </t>
  </si>
  <si>
    <t xml:space="preserve">Para Rayo Tipo KDA 05 INCLUYE: 1 Sistema Integrado, Mastil de 9 mts de Altura  en torre metalica  Ancla de 20x20X80 cm tipo Visagra, Reguilete de Cobre, Compuesto para Aterrizaje, Cable Desnudo calibre 2-0 Para una covertura de 300 metros de diametro  con torre metalica </t>
  </si>
  <si>
    <t>Control de carga   LS-1024, PWM de 10A, 12/24 V, microprocesador, indicadores luminosos a LED, botón de encendido, programación de tipo de baterías: abierta, gel</t>
  </si>
  <si>
    <t>Control de carga   LS-2024, PWM de 20A, 12/24 V, microprocesador, indicadores luminosos a LED, botón de encendido, programación de tipo de baterías: abierta, gel</t>
  </si>
  <si>
    <t>Control de carga   LS-2024R para luminarias solares, PWM , 20 A, 12/24 V, microprocesador, indicadores luminosos a LED, display digital de modo de programación, botón de encendido, programación de tipo de baterías: abierta, gel.</t>
  </si>
  <si>
    <t>Control de carga   LS-2024B para aplicaciones profesionales, PWM, 20A, 12/24 V, microprocesador, indicadores luminosos a LED, comunicación ModBus RS485, botón de encendido, programación de tipo de baterías: abierta, gel. Se conecta con medidor-programador MT50.</t>
  </si>
  <si>
    <t>Control de carga  CML, PWM de 20 A, 12/24 V, microprocesador, indicadores luminosos a LED.</t>
  </si>
  <si>
    <t>Control de carga  CML, PWM de 10 A, 12/24 V, microprocesador, indicadores luminosos a LED.</t>
  </si>
  <si>
    <t>Control de carga  CX, PWM de 10 A, 12/24 V, microprocesador, programable, temporizador integrado, indicador a pantalla de cristal líquido LCD, con interfase para PC.</t>
  </si>
  <si>
    <t>Control de carga  CX, PWM de 20 A, 12/24 V, microprocesador, programable, temporizador integrado, indicador a pantalla de cristal líquido LCD, con interfase para PC.</t>
  </si>
  <si>
    <t>Control de carga  CX, PWM de 40 A, 12/24 V, microprocesador, programable, temporizador integrado, indicador a pantalla de cristal líquido LCD, con interfase para PC.</t>
  </si>
  <si>
    <t>Control de carga  CIS-10 PWM de 10 A, 12/24 V, para aplicación en Luminarias Solares, a microprocesador, programación mediante control remoto infrarrojo, con tiempo corrido de operación seleccionable.</t>
  </si>
  <si>
    <t>Control de carga    4215BN con seguidor de máxima potencia, capacidad de 40 A a baterías de 12/24V, para arreglos solares hasta 100 V.</t>
  </si>
  <si>
    <t>Batería  S-480, 6V, 480Ah @ 100h, abierta, inundada, ciclo profundo, vida útil 7 años.</t>
  </si>
  <si>
    <t>Batería  S-550, 6V, 550Ah @ 100h, abierta, inundada, ciclo profundo, vida útil 7 años.</t>
  </si>
  <si>
    <t>Batería  12V, 106Ah @ 100h, electrolito inmovilizado AGM, sellada, libre de mantenimiento. Vida útil 7 años en ciclos diarios del 20% de descarga.</t>
  </si>
  <si>
    <t>Inversor  PST-300-12 de 300W, 12VCD a 120VCA, onda senoidal pura</t>
  </si>
  <si>
    <t>Inversor  PST-1000-24 de 100W, 24VCD a 120VCA, onda senoidal pura</t>
  </si>
  <si>
    <t>Inversor  PST-1500-12 de 1500W, 12VCD a 120VCA, onda senoidal pura</t>
  </si>
  <si>
    <t>Inversor-cargador  SAM1500C, 1500W, 12 VCD a 120 VCA, cargador de 15A, transfer 30A. Onda senoidal modificada</t>
  </si>
  <si>
    <t xml:space="preserve">Monitor y Control Remoto </t>
  </si>
  <si>
    <t>Monitor y Control Remoto  permite interconexión a red</t>
  </si>
  <si>
    <t xml:space="preserve">Sensor de temperatura </t>
  </si>
  <si>
    <t>Hub-10  centro de comnicaciones de inversores y controles  para 10 componentes</t>
  </si>
  <si>
    <t>Hub-4  centro de gestión y comunicación de inversores y controles  para 4 componentes</t>
  </si>
  <si>
    <t xml:space="preserve">Medidor-programador digital remoto para inversores </t>
  </si>
  <si>
    <t>Lámpara Fluorescente compacta  11 W, 12 V (Tubo integrado)</t>
  </si>
  <si>
    <t>Congelador-refrigerador en CD,  DC-050, cap. 50 litros. Opera a 12 V o 24 V.</t>
  </si>
  <si>
    <t>Congelador-refrigerador en CD,  DC-165, cap. 165 litros. Opera a 12 V o 24 V</t>
  </si>
  <si>
    <t>Congelador-refrigerador en CD,  DC-225, cap. 225 litros. Opera a 12 V o 24 V</t>
  </si>
  <si>
    <t>Medidor-programador  MT50, a microprocesador, pantalla digital muestra con íconos el funcionamiento actual del sistema, permite reivsar el histórico de generación y programar la operación del control mediante menus extensivos accesible por botones. Conector RJ45.</t>
  </si>
  <si>
    <t>Control de carga  CIS-20 PWM de 20 A, 12/24 V, para aplicación en Luminarias Solares, a microprocesador, programación mediante control remoto infrarrojo, con tiempo de operación corrido, ajustable.</t>
  </si>
  <si>
    <t>Control de carga MPPT  FX60, 150V-12/24/48 V, seguidor de máxima potencia, 60A.</t>
  </si>
  <si>
    <t xml:space="preserve">Batería  Para Uso Fotovoltaico 12 V, 85 Ah @ 100 hr, libre de mantenimiento. Vida útil: 3 a 4 años. </t>
  </si>
  <si>
    <t xml:space="preserve">Gabinete concentrador 1C, protecciones y accesorios AC- DC para sistema  interconectado a CFE PARA 1 CADENA </t>
  </si>
  <si>
    <t>Cable</t>
  </si>
  <si>
    <t>Para Rayos</t>
  </si>
  <si>
    <t>Control de carga   SY 20-12/24, PWM de , , microprocesador, indicadores luminosos a LED, botón de encendido, programación de tipo de baterías: abierta, gel</t>
  </si>
  <si>
    <t>Control de carga   SY 30-12/24, PWM de , , microprocesador, indicadores luminosos a LED, botón de encendido, programación de tipo de baterías: abierta, gel</t>
  </si>
  <si>
    <t>Control de carga   SY 40-12/24, PWM de , , microprocesador, indicadores luminosos a LED, botón de encendido, programación de tipo de baterías: abierta, gel</t>
  </si>
  <si>
    <t>Control de carga   SY 50-12/24, PWM de , , microprocesador, indicadores luminosos a LED, botón de encendido, programación de tipo de baterías: abierta, gel</t>
  </si>
  <si>
    <t>Control de carga   SY 60-12/24, PWM de , , microprocesador, indicadores luminosos a LED, botón de encendido, programación de tipo de baterías: abierta, gel</t>
  </si>
  <si>
    <t>Control de carga   SY 80-12/24, PWM de , , microprocesador, indicadores luminosos a LED, botón de encendido, programación de tipo de baterías: abierta, gel</t>
  </si>
  <si>
    <t xml:space="preserve">Para Rayo Tipo KLU INCLUYE: 1 Sistema Integrado, Mastil de 6 mts de Altura  en torre metalica   Reguilete de Cobre, Compuesto para Aterrizaje, Cable Desnudo calibre 2  Para una covertura de 30 metros de diametro  </t>
  </si>
  <si>
    <t xml:space="preserve">Para Rayo Tipo KLU INCLUYE: 1 Sistema Integrado, Mastil de 9 mts de Altura  en torre metalica  Reguilete de Cobre, Compuesto para Aterrizaje, Cable Desnudo calibre 2  Para una covertura de 80 metros de diametro  </t>
  </si>
  <si>
    <t>Inversor  PST-1500-24 de 1500W, 24VCD a 120VCA, onda senoidal pura</t>
  </si>
  <si>
    <t xml:space="preserve">Baterias </t>
  </si>
  <si>
    <t>Inversores</t>
  </si>
  <si>
    <t>Conectores</t>
  </si>
  <si>
    <t>Herramienta</t>
  </si>
  <si>
    <t>Supresor</t>
  </si>
  <si>
    <t xml:space="preserve">Inversor 4,500 w Momentaneos OPM 1500  W Continuos  RMS Entrada  12 DC Salida 120 AC </t>
  </si>
  <si>
    <t xml:space="preserve">Inversor 4,500 w Momentaneos OPM 1500  W Continuos  RMS Entrada  24  DC Salida 120 AC </t>
  </si>
  <si>
    <t xml:space="preserve">Inversor 4,500 w Momentaneos OPM 1500  W Continuos  RMS Entrada  48 DC Salida 120 AC </t>
  </si>
  <si>
    <t xml:space="preserve">Inversor 3,600 w Momentaneos OPM 1,200  W Continuos  RMS Entrada  12 DC Salida 120 AC </t>
  </si>
  <si>
    <t xml:space="preserve">Inversor 3,600 w Momentaneos OPM 1,200  W Continuos  RMS Entrada  24 DC Salida 120 AC </t>
  </si>
  <si>
    <t xml:space="preserve">Inversor 3,600 w Momentaneos OPM 1,200  W Continuos  RMS Entrada  48 DC Salida 120 AC </t>
  </si>
  <si>
    <t xml:space="preserve">Inversor 2,400 w Momentaneos OPM 800  W Continuos  RMS Entrada  12 DC Salida 120 AC </t>
  </si>
  <si>
    <t xml:space="preserve">Inversor 2,400 w Momentaneos OPM 800  W Continuos  RMS Entrada  24 DC Salida 120 AC </t>
  </si>
  <si>
    <t xml:space="preserve">Inversor 2,400 w Momentaneos OPM 800  W Continuos  RMS Entrada  48 DC Salida 120 AC </t>
  </si>
  <si>
    <t xml:space="preserve">Inversor 9,000 w Momentaneos OPM 3000  W Continuos  RMS Entrada  24 DC Salida 120 AC </t>
  </si>
  <si>
    <t xml:space="preserve">Accesorios </t>
  </si>
  <si>
    <t xml:space="preserve">Inversor 1250 w Momentaneos OPM 450  W Continuos  RMS Entrada  12 DC Salida 120 AC </t>
  </si>
  <si>
    <t xml:space="preserve">Inversor 1250 w Momentaneos OPM 450  W Continuos  RMS Entrada  24 DC Salida 120 AC </t>
  </si>
  <si>
    <t xml:space="preserve">Inversor 1250 w Momentaneos OPM 450  W Continuos  RMS Entrada  48 DC Salida 120 AC </t>
  </si>
  <si>
    <t xml:space="preserve">Inversor 600 w Momentaneos OPM 250  W Continuos  RMS Entrada 12 DC Salida 120 AC </t>
  </si>
  <si>
    <t xml:space="preserve">Inversor 600 w Momentaneos OPM 250  W Continuos  RMS Entrada 24 DC Salida 120 AC </t>
  </si>
  <si>
    <t xml:space="preserve">Inversor 600 w Momentaneos OPM 250  W Continuos  RMS Entrada 48 DC Salida 120 AC </t>
  </si>
  <si>
    <t xml:space="preserve">GOLDEN HARVEST SOLAR ENERGY AND IRRIGATION  S.A. DE C.V. </t>
  </si>
  <si>
    <t>RFC: GHS080814-KT5</t>
  </si>
  <si>
    <t>Libramiento Oriente No. 3218-3 Col. San José de la Mina C.P. 60120 Uruapan, Mich., Méx.</t>
  </si>
  <si>
    <t>Tel Of. 01 (452) 119.18.96   E-mail: sistemassolaresdeuruapan@hotmail.com</t>
  </si>
  <si>
    <t>www.goldenharvest.com.mx</t>
  </si>
  <si>
    <t>trujillo@goldenharvest.com.mx</t>
  </si>
  <si>
    <t>Asesor de Venta:</t>
  </si>
  <si>
    <t>JOSE TRUJILLO</t>
  </si>
  <si>
    <t>Condiciones de Pago:</t>
  </si>
  <si>
    <t>Contado</t>
  </si>
  <si>
    <t>Para:</t>
  </si>
  <si>
    <t>Fecha:</t>
  </si>
  <si>
    <t>RFC:</t>
  </si>
  <si>
    <t>Direccion:</t>
  </si>
  <si>
    <t>Teléfono:</t>
  </si>
  <si>
    <t>E-mail:</t>
  </si>
  <si>
    <t>Nota:</t>
  </si>
  <si>
    <t>MOD</t>
  </si>
  <si>
    <t>GENERACION DIARIA KWh</t>
  </si>
  <si>
    <t>CODIGO</t>
  </si>
  <si>
    <t>DESCRIPCIÓN</t>
  </si>
  <si>
    <t>CANT.</t>
  </si>
  <si>
    <t>UNITARIO</t>
  </si>
  <si>
    <t>IVA</t>
  </si>
  <si>
    <t xml:space="preserve">Kit electrico para iliminacion a Corriente Alterna Incluye Clavija, Socket, Socket de Cadena Apagador Y accesorios para instalar </t>
  </si>
  <si>
    <t xml:space="preserve">Gabinete metalico para integracion de planta con una Bateria </t>
  </si>
  <si>
    <t>Sistema para interconexion a CFE</t>
  </si>
  <si>
    <t>GHS-15.0 KWp</t>
  </si>
  <si>
    <t xml:space="preserve">Modulos y Capacidad </t>
  </si>
  <si>
    <t>GHS-SY-5Ah-12-24</t>
  </si>
  <si>
    <t>GHS-SY-10Ah-12-24</t>
  </si>
  <si>
    <t>GHS-SY-20Ah-12-24</t>
  </si>
  <si>
    <t>GHS-SY-30Ah-12-24</t>
  </si>
  <si>
    <t>GHS-SY-40Ah-12-24</t>
  </si>
  <si>
    <t>GHS-SY-50Ah-48</t>
  </si>
  <si>
    <t>GHS-SY-60Ah-48</t>
  </si>
  <si>
    <t>GHS-SY-70Ah-48</t>
  </si>
  <si>
    <t>CNX-LS-1024</t>
  </si>
  <si>
    <t>CNX-LS-2024</t>
  </si>
  <si>
    <t>CNX-LS-2024R</t>
  </si>
  <si>
    <t>CNX-LS-2024B</t>
  </si>
  <si>
    <t>CNX-MT-51</t>
  </si>
  <si>
    <t>CNX-CML-10</t>
  </si>
  <si>
    <t>CNX-CML-20</t>
  </si>
  <si>
    <t>CNX-CX-10</t>
  </si>
  <si>
    <t>CNX-CX-20</t>
  </si>
  <si>
    <t>CNX-CX-40</t>
  </si>
  <si>
    <t>CNX-CIS-10</t>
  </si>
  <si>
    <t>CNX-CIS-20</t>
  </si>
  <si>
    <t>CNX-CIS-CU</t>
  </si>
  <si>
    <t>CNX-SCC-COM</t>
  </si>
  <si>
    <t>CNX-4215BN</t>
  </si>
  <si>
    <t>CNX.-FM60</t>
  </si>
  <si>
    <t>CNX-FM80</t>
  </si>
  <si>
    <t>JAD-L24-MDC</t>
  </si>
  <si>
    <t>CNX-S-480</t>
  </si>
  <si>
    <t>CNX-S-550</t>
  </si>
  <si>
    <t>CNX-106-RE</t>
  </si>
  <si>
    <t>CNX-PST-301</t>
  </si>
  <si>
    <t>CNX-PST-1000-25</t>
  </si>
  <si>
    <t>CNX-PST-1500-24</t>
  </si>
  <si>
    <t>CNX-PST-1500-12</t>
  </si>
  <si>
    <t>CNX-SAM- 1500C</t>
  </si>
  <si>
    <t>CNX.-EVO-2212</t>
  </si>
  <si>
    <t>CNX-EVO-2224</t>
  </si>
  <si>
    <t>CNX.-GVFX3524LA</t>
  </si>
  <si>
    <t>CNX.-GVFX3648LA</t>
  </si>
  <si>
    <t>GHS-COM600-250-12</t>
  </si>
  <si>
    <t>GHS-COM600-250-24</t>
  </si>
  <si>
    <t>GHS-COM600-250-48</t>
  </si>
  <si>
    <t>GHS-COM1200-450-12</t>
  </si>
  <si>
    <t>GHS-COM1200-450-24</t>
  </si>
  <si>
    <t>GHS-COM1200-450-48</t>
  </si>
  <si>
    <t>GHS-COM2400-800-12</t>
  </si>
  <si>
    <t>GHS-COM2400-800-24</t>
  </si>
  <si>
    <t>GHS-COM2400-800-48</t>
  </si>
  <si>
    <t>GHS-COM3600-1200-12</t>
  </si>
  <si>
    <t>GHS-COM3600-1200-24</t>
  </si>
  <si>
    <t>GHS-COM3600-1200-48</t>
  </si>
  <si>
    <t>GHS-COM9000-300-24</t>
  </si>
  <si>
    <t>GHS-COM4500-1500-12</t>
  </si>
  <si>
    <t>GHS-COM4500-1500-24</t>
  </si>
  <si>
    <t>GHS-COM4500-1500-48</t>
  </si>
  <si>
    <t>CNX-MATE-2</t>
  </si>
  <si>
    <t>CNX-MATE-3</t>
  </si>
  <si>
    <t>CNX-HUB-4</t>
  </si>
  <si>
    <t>CNX-HUB-10</t>
  </si>
  <si>
    <t>CNX-RTS</t>
  </si>
  <si>
    <t>CNX-EVO-RC</t>
  </si>
  <si>
    <t>CNX-TF11</t>
  </si>
  <si>
    <t>CNX-TF15</t>
  </si>
  <si>
    <t>GHS-Mr-16-3W-12VDC</t>
  </si>
  <si>
    <t>GHS-Mr-16-3W-127AC</t>
  </si>
  <si>
    <t>GHS-Par-30-5W-12DC</t>
  </si>
  <si>
    <t>GHS-Par-30-5W-127AC</t>
  </si>
  <si>
    <t>GHS-Par-38-10W-12DC</t>
  </si>
  <si>
    <t>GHS-Par-38-10W-127AC</t>
  </si>
  <si>
    <t>CNX-SPL-M30W</t>
  </si>
  <si>
    <t>CNX-SPL49</t>
  </si>
  <si>
    <t>CNX-SPL-C91</t>
  </si>
  <si>
    <t>GHS-ST-01</t>
  </si>
  <si>
    <t>GHS-ST-02</t>
  </si>
  <si>
    <t>CNX-CC-1.5A</t>
  </si>
  <si>
    <t>CNX-CM-1P</t>
  </si>
  <si>
    <t>GHS-G- Met-1</t>
  </si>
  <si>
    <t>GHS-G- Met-2</t>
  </si>
  <si>
    <t>GHS-G- Met-3</t>
  </si>
  <si>
    <t>GHS-G- Met-4</t>
  </si>
  <si>
    <t>GHS-Tab-1B</t>
  </si>
  <si>
    <t>GHS-Tab-2B</t>
  </si>
  <si>
    <t>GHS-Tab-3B</t>
  </si>
  <si>
    <t>GHS-Tab-4B</t>
  </si>
  <si>
    <t>GHS-Tab-5B</t>
  </si>
  <si>
    <t>GHS-Tab-6B</t>
  </si>
  <si>
    <t>GHS-Tab-8B</t>
  </si>
  <si>
    <t>GHS-ESC-2</t>
  </si>
  <si>
    <t>GHS-BAS-2-150</t>
  </si>
  <si>
    <t>GHS-BAS-3-151</t>
  </si>
  <si>
    <t>GHS-BAS-4-152</t>
  </si>
  <si>
    <t>GHS-BAS-2-250</t>
  </si>
  <si>
    <t>GHS-BAS-1-250</t>
  </si>
  <si>
    <t>GHS-BAS-3-252</t>
  </si>
  <si>
    <t>GHS-BAS-4-253</t>
  </si>
  <si>
    <t>GHS-SOP-2</t>
  </si>
  <si>
    <t>GHS-SOP-3</t>
  </si>
  <si>
    <t>GHS-SOP-4</t>
  </si>
  <si>
    <t>GHS-SOP-5</t>
  </si>
  <si>
    <t>GHS-SOP-6</t>
  </si>
  <si>
    <t>GHS-SOP-7</t>
  </si>
  <si>
    <t>CNX-DC-050</t>
  </si>
  <si>
    <t>CNX-DC-165</t>
  </si>
  <si>
    <t>CNX-DC-225</t>
  </si>
  <si>
    <t>INVERCOM</t>
  </si>
  <si>
    <t>KIT-DC</t>
  </si>
  <si>
    <t>KIT-AC</t>
  </si>
  <si>
    <t>SOLAREVER</t>
  </si>
  <si>
    <t>SAYA</t>
  </si>
  <si>
    <t>CONERMEX</t>
  </si>
  <si>
    <t>JADA</t>
  </si>
  <si>
    <t>ASSIC</t>
  </si>
  <si>
    <t>GHS-SE-50</t>
  </si>
  <si>
    <t>GHS-SE-100</t>
  </si>
  <si>
    <t>GOLDEN</t>
  </si>
  <si>
    <t>1SEP007715F0753</t>
  </si>
  <si>
    <t>Soporte para Conectores de Neutro y Tierra para Gabinete de 18,54 y 72 Modulos</t>
  </si>
  <si>
    <t>1SEP007715F0733</t>
  </si>
  <si>
    <t>1SEP007715F0743</t>
  </si>
  <si>
    <t>E 92/32 PV Porta-Fusible 2 Polos, 1000 VDC, 32 A</t>
  </si>
  <si>
    <t>E 9F12 PV Fusible Cilindrico 1000 VDC 12 Amps</t>
  </si>
  <si>
    <t>ZS10 Gris 24 a 6 (57A) 8 mm</t>
  </si>
  <si>
    <t>Topes de retencion para todo tio de clemasBAM3 Gris 36 x 43 mm 10 mm</t>
  </si>
  <si>
    <t>Clemas de tornillo para tierra ZS6-PE Verde / Amarillo 22 a 10 (720 A) 6 mm</t>
  </si>
  <si>
    <t>S202M-Z16UC Mini-Interruptor 2 Polos 16 A, 500 VDC</t>
  </si>
  <si>
    <t>Tapa Cubremodulos RAL 7035, 12 modulos por pieza</t>
  </si>
  <si>
    <t>OVR P 40 600P Supresor de Picos de Voltaje 670 VDC 20 kA</t>
  </si>
  <si>
    <t>Gabinete MISTRAL, 18 Modulos, 1 Fila 250 x 430 x 155 mm IP66</t>
  </si>
  <si>
    <t>Conector de Neutro para Gabinete de 18, 54, 72 y 48 Modulos, 7x16 mm2 + 9x6 mm3</t>
  </si>
  <si>
    <t>Conector de Tierra para Gabinete de 18, 54, 72 y 48 Modulos, 7x16 mm2 + 9x6 mm3</t>
  </si>
  <si>
    <t>Tapas finales para clemas ES4 Gris ZS4/ZS16, ZS4-S, ZS4-S-T3</t>
  </si>
  <si>
    <t>COSTO NETO</t>
  </si>
  <si>
    <t>PUBLICO</t>
  </si>
  <si>
    <t>PV -Combiner</t>
  </si>
  <si>
    <t>Badesa</t>
  </si>
  <si>
    <t>1SL1203A01</t>
  </si>
  <si>
    <t>2CSM204703R1802</t>
  </si>
  <si>
    <t>2CSM213546R1802</t>
  </si>
  <si>
    <t>1SNK508010R0001</t>
  </si>
  <si>
    <t>1SNK505910R0001</t>
  </si>
  <si>
    <t>1SNK900001R0001</t>
  </si>
  <si>
    <t>1SNK506150R0001</t>
  </si>
  <si>
    <t>2CDS272061R0469</t>
  </si>
  <si>
    <t>1SL1929A01</t>
  </si>
  <si>
    <t>2CTB803953R5301</t>
  </si>
  <si>
    <r>
      <t xml:space="preserve">(1-18)Caja combinadora </t>
    </r>
    <r>
      <rPr>
        <sz val="8"/>
        <rFont val="Arial"/>
        <family val="2"/>
      </rPr>
      <t>para un string de 16 A 500V</t>
    </r>
    <r>
      <rPr>
        <sz val="8"/>
        <color rgb="FFFF0000"/>
        <rFont val="Arial"/>
        <family val="2"/>
      </rPr>
      <t>, considerando 10 paneles con una corriente de corto circuito de 9.31 A y un voltaje de circuito abierto de 37.8</t>
    </r>
    <r>
      <rPr>
        <sz val="11"/>
        <color theme="1"/>
        <rFont val="Calibri"/>
        <family val="2"/>
        <scheme val="minor"/>
      </rPr>
      <t/>
    </r>
  </si>
  <si>
    <r>
      <t>(1-24)Caja combinadora para un string de 16 A 500V, considerando 10 paneles con una corriente de corto circuito de 9.31 A y un voltaje de circuito abierto de 37.8</t>
    </r>
    <r>
      <rPr>
        <sz val="11"/>
        <color theme="1"/>
        <rFont val="Calibri"/>
        <family val="2"/>
        <scheme val="minor"/>
      </rPr>
      <t/>
    </r>
  </si>
  <si>
    <t>Mat-Electrico</t>
  </si>
  <si>
    <t>Hr/Tec</t>
  </si>
  <si>
    <t>Kit-AC</t>
  </si>
  <si>
    <t>Mat-Electr</t>
  </si>
  <si>
    <t>Kit-DC</t>
  </si>
  <si>
    <t>CC-1</t>
  </si>
  <si>
    <t>CC-2</t>
  </si>
  <si>
    <t>Mod-S-Ev-100</t>
  </si>
  <si>
    <t>Mod-S-Ev-80</t>
  </si>
  <si>
    <t>Mod-S-Ev-50</t>
  </si>
  <si>
    <t>Mod-S-Ev-25</t>
  </si>
  <si>
    <t>Bat-CNX-S-550</t>
  </si>
  <si>
    <t>Bat-CNX-106-RE</t>
  </si>
  <si>
    <t>Sensor-RTS</t>
  </si>
  <si>
    <t>Medidor-EVO-RC</t>
  </si>
  <si>
    <t>Lamp-TF11</t>
  </si>
  <si>
    <t>Mr-16-3W-12VDC</t>
  </si>
  <si>
    <t>Par-30-5W-12DC</t>
  </si>
  <si>
    <t>Par-30-5W-127AC</t>
  </si>
  <si>
    <t>Par-38-10W-12DC</t>
  </si>
  <si>
    <t>Par-38-10W-127AC</t>
  </si>
  <si>
    <t>Led-SPL-M30W</t>
  </si>
  <si>
    <t>Sop-SE-50</t>
  </si>
  <si>
    <t>Sop-SE-100</t>
  </si>
  <si>
    <t>Sop-ST-01</t>
  </si>
  <si>
    <t>Sop-ST-02</t>
  </si>
  <si>
    <t>Convert-CC-1.5A</t>
  </si>
  <si>
    <t>GAb-PL-1P</t>
  </si>
  <si>
    <t>Gab-Met-1B</t>
  </si>
  <si>
    <t>Gab-Met-2B</t>
  </si>
  <si>
    <t>Gab-Met-3B</t>
  </si>
  <si>
    <t>Gab-Met-4B</t>
  </si>
  <si>
    <r>
      <t xml:space="preserve">Metro Canal de aluminio ancho 2 1/ 2 prof X11/2 espesor X1/8 largox 1metro para </t>
    </r>
    <r>
      <rPr>
        <b/>
        <sz val="12"/>
        <color theme="1"/>
        <rFont val="Calibri"/>
        <family val="2"/>
        <scheme val="minor"/>
      </rPr>
      <t xml:space="preserve">venta por metro </t>
    </r>
  </si>
  <si>
    <t>Bast-2-50/150</t>
  </si>
  <si>
    <t>Bast-3-50/150</t>
  </si>
  <si>
    <t>Bast-4-50/150</t>
  </si>
  <si>
    <t>Bast-1-50/150</t>
  </si>
  <si>
    <t>Bast-1-250</t>
  </si>
  <si>
    <t>Bast-2-250</t>
  </si>
  <si>
    <t>Bast-3-250</t>
  </si>
  <si>
    <t>Bast-4-250</t>
  </si>
  <si>
    <t>Sop-Tub-2</t>
  </si>
  <si>
    <t>Sop-Tub-3</t>
  </si>
  <si>
    <t>Sop-Tub-4</t>
  </si>
  <si>
    <t>Sop-Tub-5</t>
  </si>
  <si>
    <t>Sop-Tub-6</t>
  </si>
  <si>
    <t>Sop-Tub-7</t>
  </si>
  <si>
    <t>GHS-SOP-8</t>
  </si>
  <si>
    <t>Sop-Tub-8</t>
  </si>
  <si>
    <t>Lum-LS30-100</t>
  </si>
  <si>
    <t>Lum-LS30-150</t>
  </si>
  <si>
    <t>Lum-2LS30-301</t>
  </si>
  <si>
    <t>Lum-LD48-100</t>
  </si>
  <si>
    <t>Lum-LD48-250</t>
  </si>
  <si>
    <t>Lum-2LD48-501</t>
  </si>
  <si>
    <t>Lum-SPL90-250</t>
  </si>
  <si>
    <t>Lum-SPL90-500</t>
  </si>
  <si>
    <t>Sist-REF50</t>
  </si>
  <si>
    <t>Sist-NX-REF165</t>
  </si>
  <si>
    <t>Sist-REF225</t>
  </si>
  <si>
    <t xml:space="preserve">Fabricacion Golden </t>
  </si>
  <si>
    <t>Costo por Metro</t>
  </si>
  <si>
    <t xml:space="preserve">Bastidor para 2 modulos </t>
  </si>
  <si>
    <t xml:space="preserve">Bastidor para 4 modulos </t>
  </si>
  <si>
    <t xml:space="preserve">Bastidor para 4 modulos  costo por pieza $1,092 mas iva </t>
  </si>
  <si>
    <t xml:space="preserve">Bastidor para 2modulos  costo por pieza mas iva $468 mas iva </t>
  </si>
  <si>
    <t xml:space="preserve">Bastidor por pieza </t>
  </si>
  <si>
    <r>
      <rPr>
        <b/>
        <sz val="16"/>
        <color theme="1"/>
        <rFont val="Calibri"/>
        <family val="2"/>
        <scheme val="minor"/>
      </rPr>
      <t>Angulo</t>
    </r>
    <r>
      <rPr>
        <sz val="11"/>
        <color theme="1"/>
        <rFont val="Calibri"/>
        <family val="2"/>
        <scheme val="minor"/>
      </rPr>
      <t xml:space="preserve"> de11/2X1/8X3.65</t>
    </r>
  </si>
  <si>
    <r>
      <rPr>
        <b/>
        <sz val="16"/>
        <color theme="1"/>
        <rFont val="Calibri"/>
        <family val="2"/>
        <scheme val="minor"/>
      </rPr>
      <t>Angulo</t>
    </r>
    <r>
      <rPr>
        <sz val="11"/>
        <color theme="1"/>
        <rFont val="Calibri"/>
        <family val="2"/>
        <scheme val="minor"/>
      </rPr>
      <t xml:space="preserve"> de2/X1/8X3.66</t>
    </r>
  </si>
  <si>
    <r>
      <rPr>
        <b/>
        <sz val="16"/>
        <color theme="1"/>
        <rFont val="Calibri"/>
        <family val="2"/>
        <scheme val="minor"/>
      </rPr>
      <t xml:space="preserve">Solera </t>
    </r>
    <r>
      <rPr>
        <sz val="11"/>
        <color theme="1"/>
        <rFont val="Calibri"/>
        <family val="2"/>
        <scheme val="minor"/>
      </rPr>
      <t>1X1/8X3.65</t>
    </r>
  </si>
  <si>
    <r>
      <rPr>
        <b/>
        <sz val="16"/>
        <color theme="1"/>
        <rFont val="Calibri"/>
        <family val="2"/>
        <scheme val="minor"/>
      </rPr>
      <t>Solera</t>
    </r>
    <r>
      <rPr>
        <sz val="11"/>
        <color theme="1"/>
        <rFont val="Calibri"/>
        <family val="2"/>
        <scheme val="minor"/>
      </rPr>
      <t xml:space="preserve"> 1X1/8X3.66</t>
    </r>
  </si>
  <si>
    <r>
      <rPr>
        <b/>
        <sz val="14"/>
        <color theme="1"/>
        <rFont val="Calibri"/>
        <family val="2"/>
        <scheme val="minor"/>
      </rPr>
      <t>Riel Shelter</t>
    </r>
    <r>
      <rPr>
        <sz val="11"/>
        <color theme="1"/>
        <rFont val="Calibri"/>
        <family val="2"/>
        <scheme val="minor"/>
      </rPr>
      <t xml:space="preserve"> </t>
    </r>
  </si>
  <si>
    <r>
      <rPr>
        <b/>
        <sz val="16"/>
        <rFont val="Calibri"/>
        <family val="2"/>
        <scheme val="minor"/>
      </rPr>
      <t>Canal</t>
    </r>
    <r>
      <rPr>
        <b/>
        <sz val="14"/>
        <rFont val="Calibri"/>
        <family val="2"/>
        <scheme val="minor"/>
      </rPr>
      <t xml:space="preserve"> </t>
    </r>
    <r>
      <rPr>
        <sz val="10"/>
        <rFont val="Calibri"/>
        <family val="2"/>
        <scheme val="minor"/>
      </rPr>
      <t xml:space="preserve">costo por metro de Canal de aluminio   11/2x 1/2X1/8  </t>
    </r>
  </si>
  <si>
    <r>
      <rPr>
        <b/>
        <sz val="18"/>
        <color theme="1"/>
        <rFont val="Calibri"/>
        <family val="2"/>
        <scheme val="minor"/>
      </rPr>
      <t xml:space="preserve">Canal </t>
    </r>
    <r>
      <rPr>
        <sz val="11"/>
        <color theme="1"/>
        <rFont val="Calibri"/>
        <family val="2"/>
        <scheme val="minor"/>
      </rPr>
      <t xml:space="preserve">de aluminio ancho 2X 1prof X espesor X1/8 largox3.66 Pieza para </t>
    </r>
    <r>
      <rPr>
        <b/>
        <sz val="11"/>
        <color theme="1"/>
        <rFont val="Calibri"/>
        <family val="2"/>
        <scheme val="minor"/>
      </rPr>
      <t xml:space="preserve">venta por pieza </t>
    </r>
  </si>
  <si>
    <r>
      <rPr>
        <b/>
        <sz val="16"/>
        <color theme="1"/>
        <rFont val="Calibri"/>
        <family val="2"/>
        <scheme val="minor"/>
      </rPr>
      <t xml:space="preserve">Canal de aluminio </t>
    </r>
    <r>
      <rPr>
        <sz val="11"/>
        <color theme="1"/>
        <rFont val="Calibri"/>
        <family val="2"/>
        <scheme val="minor"/>
      </rPr>
      <t xml:space="preserve">ancho 2 1/ 2prof X11/2 espesor X1/8 largox3.66 Pieza para </t>
    </r>
    <r>
      <rPr>
        <b/>
        <sz val="12"/>
        <color theme="1"/>
        <rFont val="Calibri"/>
        <family val="2"/>
        <scheme val="minor"/>
      </rPr>
      <t xml:space="preserve">venta por pieza </t>
    </r>
  </si>
  <si>
    <r>
      <rPr>
        <b/>
        <sz val="16"/>
        <color theme="1"/>
        <rFont val="Calibri"/>
        <family val="2"/>
        <scheme val="minor"/>
      </rPr>
      <t>Bastidor</t>
    </r>
    <r>
      <rPr>
        <b/>
        <sz val="11"/>
        <color theme="1"/>
        <rFont val="Calibri"/>
        <family val="2"/>
        <scheme val="minor"/>
      </rPr>
      <t xml:space="preserve"> para 6 modulos  costo por pieza $1,872 mas iva </t>
    </r>
  </si>
  <si>
    <r>
      <rPr>
        <b/>
        <sz val="14"/>
        <rFont val="Calibri"/>
        <family val="2"/>
        <scheme val="minor"/>
      </rPr>
      <t xml:space="preserve">Metro de Riel </t>
    </r>
    <r>
      <rPr>
        <sz val="10"/>
        <rFont val="Calibri"/>
        <family val="2"/>
        <scheme val="minor"/>
      </rPr>
      <t xml:space="preserve">Shelter para Montaje de modulos se requieren 12 metros para instalacion de 6 modulos verticales </t>
    </r>
  </si>
  <si>
    <r>
      <rPr>
        <b/>
        <sz val="14"/>
        <rFont val="Calibri"/>
        <family val="2"/>
        <scheme val="minor"/>
      </rPr>
      <t>Metro</t>
    </r>
    <r>
      <rPr>
        <sz val="10"/>
        <rFont val="Calibri"/>
        <family val="2"/>
        <scheme val="minor"/>
      </rPr>
      <t xml:space="preserve"> de Riel Shelter para Montaje de modulos se requieren 12 metros para instalacion de 6 modulos verticales </t>
    </r>
  </si>
  <si>
    <r>
      <rPr>
        <b/>
        <sz val="16"/>
        <rFont val="Calibri"/>
        <family val="2"/>
        <scheme val="minor"/>
      </rPr>
      <t xml:space="preserve">Metro de Riel Shelter </t>
    </r>
    <r>
      <rPr>
        <sz val="10"/>
        <rFont val="Calibri"/>
        <family val="2"/>
        <scheme val="minor"/>
      </rPr>
      <t xml:space="preserve">para Montaje de modulos se requieren 12 metros para instalacion de 6 modulos verticales </t>
    </r>
  </si>
  <si>
    <t xml:space="preserve">GHS-25-12V-DC </t>
  </si>
  <si>
    <t xml:space="preserve">Costo Total de planta para iluminacion a 12v sin Corriente alterna </t>
  </si>
  <si>
    <t>Total</t>
  </si>
  <si>
    <t xml:space="preserve">GHS-50-12V-DC </t>
  </si>
  <si>
    <t>GHS-80-12V-</t>
  </si>
  <si>
    <t>GHS-100-12V</t>
  </si>
  <si>
    <t>GHS-150-12V</t>
  </si>
  <si>
    <t>GHS-200-12V</t>
  </si>
  <si>
    <t xml:space="preserve">GHS-250012V-SIN </t>
  </si>
  <si>
    <t>50-DC- INST</t>
  </si>
  <si>
    <t>25 -DC-INST</t>
  </si>
  <si>
    <t>25-DC-SIN</t>
  </si>
  <si>
    <t>50-DC-SIN</t>
  </si>
  <si>
    <t>80-INST</t>
  </si>
  <si>
    <t>80-SIN</t>
  </si>
  <si>
    <t>100-INST</t>
  </si>
  <si>
    <t>100-SIN</t>
  </si>
  <si>
    <t>150-INST</t>
  </si>
  <si>
    <t>200-INST</t>
  </si>
  <si>
    <t>150-SIN</t>
  </si>
  <si>
    <t xml:space="preserve">200-SIN </t>
  </si>
  <si>
    <r>
      <t xml:space="preserve">Planta solar MOD: GHS-25-12VDC </t>
    </r>
    <r>
      <rPr>
        <b/>
        <i/>
        <sz val="12"/>
        <color rgb="FF002060"/>
        <rFont val="Calibri"/>
        <family val="2"/>
        <scheme val="minor"/>
      </rPr>
      <t>Instalada y Lista para ser usada</t>
    </r>
    <r>
      <rPr>
        <i/>
        <sz val="12"/>
        <color rgb="FF002060"/>
        <rFont val="Calibri"/>
        <family val="2"/>
        <scheme val="minor"/>
      </rPr>
      <t xml:space="preserve">Para iluminacion a 12v Incluye: Modulos Solar Con cable uso rudo para cometida, Controlador, Bateria para uso fotovoltaico, 2  Lamparas de leds, Kit de cable para Corriente Directa, Instalada en Tablero (NO PROVEE ENERGIA PARA ELECTRODOMESTICOS) + IVA Consumo: El consumo diario es de 48 w en 4 horas y un  respaldo energetico de 62w de la generacion diaria ,  La eficiencia del sistema y la vida util, dependen del uso adecuado y es responsabilidad del usuario. </t>
    </r>
  </si>
  <si>
    <r>
      <t xml:space="preserve">Planta solar MOD: GHS-25-12VDC </t>
    </r>
    <r>
      <rPr>
        <b/>
        <i/>
        <sz val="12"/>
        <color rgb="FF002060"/>
        <rFont val="Calibri"/>
        <family val="2"/>
        <scheme val="minor"/>
      </rPr>
      <t xml:space="preserve">Componentes solamente </t>
    </r>
    <r>
      <rPr>
        <i/>
        <sz val="12"/>
        <color rgb="FF002060"/>
        <rFont val="Calibri"/>
        <family val="2"/>
        <scheme val="minor"/>
      </rPr>
      <t xml:space="preserve">no incluye instalacion Para iluminacion a 12v Incluye: Modulos Solar  Controlador, Bateria para uso fotovoltaico, 2  Lamparas de leds, (NO PROVEE ENERGIA PARA ELECTRODOMESTICOS) + IVA Consumo: El consumo diario es de 48 w en 4 horas y un  respaldo energetico de 62w de la generacion diaria , La eficiencia del sistema y la vida util, dependen del uso adecuado y es responsabilidad del usuario. </t>
    </r>
  </si>
  <si>
    <t xml:space="preserve">MANO DE OBRA </t>
  </si>
  <si>
    <t>TG</t>
  </si>
  <si>
    <t>Bast-Al-1M</t>
  </si>
  <si>
    <t>Bast-Al-2M</t>
  </si>
  <si>
    <r>
      <rPr>
        <b/>
        <sz val="18"/>
        <color theme="1"/>
        <rFont val="Calibri"/>
        <family val="2"/>
        <scheme val="minor"/>
      </rPr>
      <t xml:space="preserve">Bastidor </t>
    </r>
    <r>
      <rPr>
        <sz val="11"/>
        <color theme="1"/>
        <rFont val="Calibri"/>
        <family val="2"/>
        <scheme val="minor"/>
      </rPr>
      <t xml:space="preserve">de aluminio para </t>
    </r>
    <r>
      <rPr>
        <b/>
        <sz val="12"/>
        <color theme="1"/>
        <rFont val="Calibri"/>
        <family val="2"/>
        <scheme val="minor"/>
      </rPr>
      <t>3 modulos</t>
    </r>
    <r>
      <rPr>
        <sz val="11"/>
        <color theme="1"/>
        <rFont val="Calibri"/>
        <family val="2"/>
        <scheme val="minor"/>
      </rPr>
      <t xml:space="preserve"> con instalacion vertical </t>
    </r>
    <r>
      <rPr>
        <b/>
        <sz val="11"/>
        <color theme="1"/>
        <rFont val="Calibri"/>
        <family val="2"/>
        <scheme val="minor"/>
      </rPr>
      <t>(Se Nesecitan 2 para Montaje de Riel) COSTO POR PIEZA $1,873</t>
    </r>
    <r>
      <rPr>
        <sz val="11"/>
        <color theme="1"/>
        <rFont val="Calibri"/>
        <family val="2"/>
        <scheme val="minor"/>
      </rPr>
      <t/>
    </r>
  </si>
  <si>
    <r>
      <rPr>
        <b/>
        <sz val="16"/>
        <color theme="1"/>
        <rFont val="Calibri"/>
        <family val="2"/>
        <scheme val="minor"/>
      </rPr>
      <t>Bastidor</t>
    </r>
    <r>
      <rPr>
        <sz val="11"/>
        <color theme="1"/>
        <rFont val="Calibri"/>
        <family val="2"/>
        <scheme val="minor"/>
      </rPr>
      <t xml:space="preserve"> de aluminio para </t>
    </r>
    <r>
      <rPr>
        <b/>
        <sz val="12"/>
        <color theme="1"/>
        <rFont val="Calibri"/>
        <family val="2"/>
        <scheme val="minor"/>
      </rPr>
      <t xml:space="preserve">1 modulo </t>
    </r>
    <r>
      <rPr>
        <sz val="11"/>
        <color theme="1"/>
        <rFont val="Calibri"/>
        <family val="2"/>
        <scheme val="minor"/>
      </rPr>
      <t xml:space="preserve">con instalacion vertical </t>
    </r>
    <r>
      <rPr>
        <b/>
        <sz val="11"/>
        <color theme="1"/>
        <rFont val="Calibri"/>
        <family val="2"/>
        <scheme val="minor"/>
      </rPr>
      <t>(Se Nesecitan 2 para Montaje de Riel)</t>
    </r>
  </si>
  <si>
    <r>
      <rPr>
        <b/>
        <sz val="18"/>
        <color theme="1"/>
        <rFont val="Calibri"/>
        <family val="2"/>
        <scheme val="minor"/>
      </rPr>
      <t xml:space="preserve">Bastidor </t>
    </r>
    <r>
      <rPr>
        <sz val="11"/>
        <color theme="1"/>
        <rFont val="Calibri"/>
        <family val="2"/>
        <scheme val="minor"/>
      </rPr>
      <t xml:space="preserve">de aluminio para </t>
    </r>
    <r>
      <rPr>
        <b/>
        <sz val="12"/>
        <color theme="1"/>
        <rFont val="Calibri"/>
        <family val="2"/>
        <scheme val="minor"/>
      </rPr>
      <t>2 modulos</t>
    </r>
    <r>
      <rPr>
        <sz val="11"/>
        <color theme="1"/>
        <rFont val="Calibri"/>
        <family val="2"/>
        <scheme val="minor"/>
      </rPr>
      <t xml:space="preserve"> con instalacion vertical </t>
    </r>
    <r>
      <rPr>
        <b/>
        <sz val="11"/>
        <color theme="1"/>
        <rFont val="Calibri"/>
        <family val="2"/>
        <scheme val="minor"/>
      </rPr>
      <t>(Se Nesecitan 2 para Montaje de Riel) COSTO POR PIEZA $1,872</t>
    </r>
  </si>
  <si>
    <r>
      <rPr>
        <b/>
        <sz val="18"/>
        <color theme="1"/>
        <rFont val="Calibri"/>
        <family val="2"/>
        <scheme val="minor"/>
      </rPr>
      <t xml:space="preserve">Bastidor </t>
    </r>
    <r>
      <rPr>
        <sz val="11"/>
        <color theme="1"/>
        <rFont val="Calibri"/>
        <family val="2"/>
        <scheme val="minor"/>
      </rPr>
      <t xml:space="preserve">de aluminio para </t>
    </r>
    <r>
      <rPr>
        <b/>
        <sz val="11"/>
        <color theme="1"/>
        <rFont val="Calibri"/>
        <family val="2"/>
        <scheme val="minor"/>
      </rPr>
      <t xml:space="preserve">4 </t>
    </r>
    <r>
      <rPr>
        <b/>
        <sz val="12"/>
        <color theme="1"/>
        <rFont val="Calibri"/>
        <family val="2"/>
        <scheme val="minor"/>
      </rPr>
      <t>modulos</t>
    </r>
    <r>
      <rPr>
        <sz val="11"/>
        <color theme="1"/>
        <rFont val="Calibri"/>
        <family val="2"/>
        <scheme val="minor"/>
      </rPr>
      <t xml:space="preserve"> con instalacion vertical </t>
    </r>
    <r>
      <rPr>
        <b/>
        <sz val="11"/>
        <color theme="1"/>
        <rFont val="Calibri"/>
        <family val="2"/>
        <scheme val="minor"/>
      </rPr>
      <t>(Se Nesecitan 2 para Montaje de Riel) COSTO POR PIEZA $1,874</t>
    </r>
    <r>
      <rPr>
        <sz val="11"/>
        <color theme="1"/>
        <rFont val="Calibri"/>
        <family val="2"/>
        <scheme val="minor"/>
      </rPr>
      <t/>
    </r>
  </si>
  <si>
    <r>
      <rPr>
        <b/>
        <sz val="16"/>
        <color theme="1"/>
        <rFont val="Calibri"/>
        <family val="2"/>
        <scheme val="minor"/>
      </rPr>
      <t>costo de Bastidor</t>
    </r>
    <r>
      <rPr>
        <b/>
        <sz val="11"/>
        <color theme="1"/>
        <rFont val="Calibri"/>
        <family val="2"/>
        <scheme val="minor"/>
      </rPr>
      <t xml:space="preserve">  por pieza instalacion de 3 modulos verticales   por pieza $1,872 mas iva </t>
    </r>
  </si>
  <si>
    <t xml:space="preserve">Bastidores de Aluminio </t>
  </si>
  <si>
    <t>Bast-Al-1Mod</t>
  </si>
  <si>
    <t>Bast-Al-2Mod</t>
  </si>
  <si>
    <t>Bast-Al-4Mod</t>
  </si>
  <si>
    <r>
      <rPr>
        <b/>
        <sz val="18"/>
        <color theme="1"/>
        <rFont val="Calibri"/>
        <family val="2"/>
        <scheme val="minor"/>
      </rPr>
      <t xml:space="preserve">Bastidor </t>
    </r>
    <r>
      <rPr>
        <sz val="11"/>
        <color theme="1"/>
        <rFont val="Calibri"/>
        <family val="2"/>
        <scheme val="minor"/>
      </rPr>
      <t xml:space="preserve">de aluminio para </t>
    </r>
    <r>
      <rPr>
        <b/>
        <sz val="11"/>
        <color theme="1"/>
        <rFont val="Calibri"/>
        <family val="2"/>
        <scheme val="minor"/>
      </rPr>
      <t xml:space="preserve">6 </t>
    </r>
    <r>
      <rPr>
        <b/>
        <sz val="12"/>
        <color theme="1"/>
        <rFont val="Calibri"/>
        <family val="2"/>
        <scheme val="minor"/>
      </rPr>
      <t>modulos</t>
    </r>
    <r>
      <rPr>
        <sz val="11"/>
        <color theme="1"/>
        <rFont val="Calibri"/>
        <family val="2"/>
        <scheme val="minor"/>
      </rPr>
      <t xml:space="preserve"> con instalacion vertical </t>
    </r>
    <r>
      <rPr>
        <b/>
        <sz val="11"/>
        <color theme="1"/>
        <rFont val="Calibri"/>
        <family val="2"/>
        <scheme val="minor"/>
      </rPr>
      <t>(Se Nesecitan 2 para Montaje de Riel) COSTO POR PIEZA $1,875</t>
    </r>
    <r>
      <rPr>
        <sz val="11"/>
        <color theme="1"/>
        <rFont val="Calibri"/>
        <family val="2"/>
        <scheme val="minor"/>
      </rPr>
      <t/>
    </r>
  </si>
  <si>
    <t>Bast-Al-6Mod</t>
  </si>
  <si>
    <t>Bast-Al-3Mod</t>
  </si>
  <si>
    <t>Golden</t>
  </si>
  <si>
    <t xml:space="preserve">Aluminio </t>
  </si>
  <si>
    <t xml:space="preserve">Lampara Circular de Leds para uso interior  Mod: MR16-3W-12VDC con gabinete metalico para colocarse en los angulos nesesarios </t>
  </si>
  <si>
    <t xml:space="preserve">Lampara Circular de Leds para uso unterior Mod: Par 30-5W-12DC  con gabinete metalico para colocarse en los angulos nesesarios </t>
  </si>
  <si>
    <t xml:space="preserve">Lampara Circular de Leds para uso unterior Mod: Par 38-10-12-DC con gabinete metalico para colocarse en los angulos nesesarios </t>
  </si>
  <si>
    <t xml:space="preserve">Lampara Circular de Leds para uso unterior Mod: Par 30-5W-127AC  con gabinete metalico para colocarse en los angulos nesesarios </t>
  </si>
  <si>
    <t xml:space="preserve">Lampara Circular de Leds para uso unterior Mod: Par 30-10W-127AC con gabinete metalico para colocarse en los angulos nesesarios </t>
  </si>
  <si>
    <t xml:space="preserve">Lámpara de LED's de 30W para luminarias solares en iluminación exterior, 12VCD, 2.5A, súper eficiente con gabinete metalico para colocarse en los angulos nesesarios </t>
  </si>
  <si>
    <t xml:space="preserve">Lámpara de LED's de 55W para luminarias solares en iluminación exterior, 4,600 lúmenes, 24VCD, 2.3A, súper eficiente </t>
  </si>
  <si>
    <t xml:space="preserve"> </t>
  </si>
  <si>
    <t xml:space="preserve">Modulos </t>
  </si>
  <si>
    <t xml:space="preserve">SUBTOTAL </t>
  </si>
  <si>
    <t xml:space="preserve">instalacion </t>
  </si>
  <si>
    <t>TOTal</t>
  </si>
  <si>
    <t>Lamparas</t>
  </si>
  <si>
    <t>MODELO</t>
  </si>
  <si>
    <t xml:space="preserve">Datos de generacion Diaria </t>
  </si>
  <si>
    <t>Cantidad de Modulos  y Generacion</t>
  </si>
  <si>
    <t xml:space="preserve">ENERGIA  GRATIS  A  SU  DISPOSICION </t>
  </si>
  <si>
    <t>BADESA</t>
  </si>
  <si>
    <t>Revisado 25 Dic</t>
  </si>
  <si>
    <t xml:space="preserve">Material Electrico </t>
  </si>
  <si>
    <t xml:space="preserve">Tablero </t>
  </si>
  <si>
    <t xml:space="preserve">Soporte Tubular </t>
  </si>
  <si>
    <t>Refrigerador</t>
  </si>
  <si>
    <t>Controladores</t>
  </si>
  <si>
    <t>Kit AC- DC</t>
  </si>
  <si>
    <t>Gabinete</t>
  </si>
  <si>
    <t>Bombeo</t>
  </si>
  <si>
    <t xml:space="preserve">Luminarias </t>
  </si>
  <si>
    <t xml:space="preserve">Sistema de Refrigeracion </t>
  </si>
  <si>
    <t xml:space="preserve">Para Rayos </t>
  </si>
  <si>
    <t>Componentes y Accesorios para Plantas Solares Autonomas</t>
  </si>
  <si>
    <t>Incremento</t>
  </si>
  <si>
    <t>GHS-25-12V-DC -SIN</t>
  </si>
  <si>
    <t>GHS-50-12V-DC -SIN</t>
  </si>
  <si>
    <t>GHS-80-12V-SIN</t>
  </si>
  <si>
    <t>GHS-100-12V-SIN</t>
  </si>
  <si>
    <t>GHS-150-12V-SIN</t>
  </si>
  <si>
    <t>Mod-SY-130</t>
  </si>
  <si>
    <t>NAUTILUS</t>
  </si>
  <si>
    <t>NAUT-45</t>
  </si>
  <si>
    <t>Luminaria Urbana Modelo Naut de 45w a 127-220 VCA con LED OSRAM E5 de 0.5 watts en Blanco Frío Para una altura de 7 metros, con distancia interpostal de 29 metros Con grado de Protección IP65 Factor de potencia: 0.94 IRC&gt;85 Temperatura de trabajo: -10°C a +50°C Eficiencia: 140lm/watt Flujo luminoso: 6300 lúmenes Dimensiones: largo de 59.5 cm, ancho 29.5 cm, altura 8.5 cm; peso 5.200 kg. Montaje superficial, con manufactura y tecnología mexicana. Garantía de 1 año de cambio del producto en caso de falla y 5 años de garantía limitada adicional</t>
  </si>
  <si>
    <t>NAUT-60</t>
  </si>
  <si>
    <t>Luminaria Urbana Modelo Naut de 60w a 127-220 VCA con LED OSRAM E5 de 0.5 watts en Blanco Frío Para una altura de 8 metros, con distancia interpostal de 34 metros Con grado de Protección IP65 Factor de potencia: 0.94 IRC&gt;85 Temperatura de trabajo: -10°C a +50°C Eficiencia: 140lm/watt Flujo luminoso: 8400 lúmenes Dimensiones: largo de 59.5 cm, ancho 29.5 cm, altura 8.5 cm; peso 5.200 kg. Montaje superficial, con manufactura y tecnología mexicana. Garantía de 1 año de cambio del producto en caso de falla y 5 años de garantía limitada adicional</t>
  </si>
  <si>
    <t>NAUT-90</t>
  </si>
  <si>
    <t>Luminaria Urbana Modelo Naut de 90w a 127-220 VCA con LED OSRAM E5 de 0.5 watts en Blanco Frío Para una altura de 10 metros, con distancia interpostal de 42 metros Con grado de Protección IP65 Factor de potencia: 0.94 IRC&gt;85 Temperatura de trabajo: -10°C a +50°C Eficiencia: 140lm/watt Flujo luminoso: 12,600 lúmenes Dimensiones: largo de 59.5 cm, ancho 29.5 cm, altura 8.5 cm; peso 5.200 kg. Montaje superficial, con manufactura y tecnología mexicana. Garantía de 1 año de cambio del producto en caso de falla y 5 años de garantía limitada adicional</t>
  </si>
  <si>
    <t>I COM-600-250-12</t>
  </si>
  <si>
    <t>I COM-600-250-24</t>
  </si>
  <si>
    <t>ICOM -600-250-48</t>
  </si>
  <si>
    <t>ICOM-1200-450-12</t>
  </si>
  <si>
    <t>ICOM-1200-450-24</t>
  </si>
  <si>
    <t>ICOM-1200-450-48</t>
  </si>
  <si>
    <t>ICOM-2400-800-12</t>
  </si>
  <si>
    <t>ICOM-2400-800-24</t>
  </si>
  <si>
    <t>ICOM-2400-800-48</t>
  </si>
  <si>
    <t>ICOM-3600-1200-24</t>
  </si>
  <si>
    <t>ICOM -3600-1200-12</t>
  </si>
  <si>
    <t>ICOM-3600-1200-48</t>
  </si>
  <si>
    <t>ICOM-4500-1500-12</t>
  </si>
  <si>
    <t>ICOM-4500-1500-24</t>
  </si>
  <si>
    <t>ICOM-4500-1500-48</t>
  </si>
  <si>
    <t>ICOM -9000-300-24</t>
  </si>
  <si>
    <t>insertar costo de compra costo</t>
  </si>
  <si>
    <t>SY20Ah-12-24</t>
  </si>
  <si>
    <t>SY-30Ah-12-24</t>
  </si>
  <si>
    <t>SY-40Ah-12-24</t>
  </si>
  <si>
    <t>SY-50Ah-12-24</t>
  </si>
  <si>
    <t>SY-60Ah-12-24</t>
  </si>
  <si>
    <t>SY-80Ah-12-24</t>
  </si>
  <si>
    <t>Led-SPL45</t>
  </si>
  <si>
    <t>Led-SPL-C90</t>
  </si>
  <si>
    <t>BASTIDOR DE ALUMINIO</t>
  </si>
  <si>
    <t>MODULO</t>
  </si>
  <si>
    <t>baterias</t>
  </si>
  <si>
    <t>inversor 1</t>
  </si>
  <si>
    <t>inversor 2</t>
  </si>
  <si>
    <t>kit</t>
  </si>
  <si>
    <t>tablero</t>
  </si>
  <si>
    <t>bastidor</t>
  </si>
  <si>
    <t>gabinete</t>
  </si>
  <si>
    <t>refrigerador</t>
  </si>
  <si>
    <t xml:space="preserve">Mano de Obra </t>
  </si>
  <si>
    <t>SOPORTE</t>
  </si>
  <si>
    <t>material e.</t>
  </si>
  <si>
    <t>CONTROLADOR</t>
  </si>
  <si>
    <t>-</t>
  </si>
  <si>
    <t>MR Y PAR</t>
  </si>
  <si>
    <t xml:space="preserve">L, Autonomas </t>
  </si>
  <si>
    <t xml:space="preserve"> KWh/DIA</t>
  </si>
  <si>
    <t>Kit-AC/DC</t>
  </si>
  <si>
    <t>FORMA DE PAGO:</t>
  </si>
  <si>
    <t>LA EFICIENCIA, EL RESPALDO Y EL USO ADECUADO DE LA PLANTA  (SON RESPONSABILIDAD DEL USUARIO)</t>
  </si>
  <si>
    <t>Proveedor</t>
  </si>
  <si>
    <t>Jose Angel Trujillo G.</t>
  </si>
  <si>
    <t>………………………………………………..</t>
  </si>
  <si>
    <t>……………………………………………</t>
  </si>
  <si>
    <t>Subtotal</t>
  </si>
  <si>
    <t>Comprador</t>
  </si>
  <si>
    <t>Represetante Legal</t>
  </si>
  <si>
    <t xml:space="preserve">que firmaran las partes involucradas…………………………………………...……………….. </t>
  </si>
  <si>
    <t>1.-Se requiere un deposito de al tomar su orden o cierre de convenio de Compra venta</t>
  </si>
  <si>
    <t>PV Combiner 1 String</t>
  </si>
  <si>
    <t xml:space="preserve">Caja combinadora para UN string de 16 A 500V, considerando 10 paneles con una corriente de corto circuito de 9.31 A y un voltaje de circuito abierto de 37.5
</t>
  </si>
  <si>
    <t>PV Combiner 2 Strings</t>
  </si>
  <si>
    <t>Caja combinadora para DOS string de 32 A 500V, considerando 10 paneles por string con una corriente de corto circuito de 9.31 A y un voltaje de circuito abierto de 37.5</t>
  </si>
  <si>
    <t>PV Combiner 3 String</t>
  </si>
  <si>
    <t>Caja combinadora para TRES string de 48 A 500V, considerando 10 paneles por string con una corriente de corto circuito de 9.31 A y un voltaje de circuito abierto de 37.5</t>
  </si>
  <si>
    <t>PV Combiner 4 String</t>
  </si>
  <si>
    <t>Caja combinadora para CUATRO string de 64 A 500V, considerando 10 paneles por string con una corriente de corto circuito de 9.31 A y un voltaje de circuito abierto de 37.5</t>
  </si>
  <si>
    <t>CONTROLADOR 2</t>
  </si>
  <si>
    <t>AB Green le presenta la siguiente propuesta economica que consta de suministro de componentes para sistema fotovoltaico de bombeo de agua con capacidad de desplazar 200 m3 al dia a una carga dinámica total de 90 metros., la cual consta de los siguientes componentes:</t>
  </si>
  <si>
    <t>ok</t>
  </si>
  <si>
    <t>Mod-S-Ev-5</t>
  </si>
  <si>
    <t>Control de carga   SY 5-12/24, PWM de , , microprocesador, indicadores luminosos a LED, botón de encendido, programación de tipo de baterías: abierta, gel</t>
  </si>
  <si>
    <t>Control de carga   SY 100-12/24, PWM de , , microprocesador, indicadores luminosos a LED, botón de encendido, programación de tipo de baterías: abierta, gel</t>
  </si>
  <si>
    <t>SY-1012-24</t>
  </si>
  <si>
    <t>Costos</t>
  </si>
  <si>
    <t>GHS-SY-5Ah-12-25</t>
  </si>
  <si>
    <t xml:space="preserve">Módulo Axitec 260, Policristalino  260W, 60 celdas. Certificaciónes IEC, CE, UL. Garantía de potencia 25 años al 82.5%, lineal en el tiempo. El módulo solar de mayor eficiencia en su tipo. </t>
  </si>
  <si>
    <t>Descuento</t>
  </si>
  <si>
    <t>subtotal</t>
  </si>
  <si>
    <t xml:space="preserve">Tamaño de Modulo para usar </t>
  </si>
  <si>
    <t>000000000000000000..2222223333333333333333333333333333333333331114………………..54………3531111111111111111111111111111411111114.11111111111111111111111111111111111111111114…………………………4</t>
  </si>
  <si>
    <t>PV Combiner 2 String</t>
  </si>
  <si>
    <t>PV Combiner</t>
  </si>
  <si>
    <t xml:space="preserve">Sistema de Tierras </t>
  </si>
  <si>
    <t xml:space="preserve">Inst. Electrica PVC </t>
  </si>
  <si>
    <t>Tierra Fisica1</t>
  </si>
  <si>
    <t>Tierra Fisica2</t>
  </si>
  <si>
    <t>Tierra Fisica3</t>
  </si>
  <si>
    <t>Sistema de Tierra TOTAL GROUND  MODELO:       INCLUYE:Varilla de cobre  5/8" (16 MM) de ndiametro, Conector, Cable, Registro para sistema de tuierras,Ventonita   SUMINISTROS DE MATERIALES, MANO DE OBRA, HERRAMIENTA, EQUIPO Y TODO LO NECESARIO PARA SU CORRECTA EJECUCIÓN.</t>
  </si>
  <si>
    <t>Tierra Fisica 4</t>
  </si>
  <si>
    <t>Tierra Fisica Convencional: 1 Electrodo con conectores y cable desnudo</t>
  </si>
  <si>
    <t>Tierra Fisica Convencional: TIPO DELTA3 Electrodos con conectores y cable desnudo</t>
  </si>
  <si>
    <t>P RAYOS</t>
  </si>
  <si>
    <t>PV COMBINER</t>
  </si>
  <si>
    <t>GAB - MIST</t>
  </si>
  <si>
    <t xml:space="preserve">Planta solar MOD: GHS-25-12VDC  Instalada y Lista para ser usada Para iluminacion a 12v Incluye: Modulos Solar Con cable uso rudo para cometida, Controlador, Bateria para uso fotovoltaico, 2  Lamparas de leds, Kit de cable para Corriente Directa, Instalada en Tablero (NO PROVEE ENERGIA PARA ELECTRODOMESTICOS) + IVA Consumo: El consumo diario es de 48 w en 4 horas y un  respaldo energetico de 172w de la generacion diaria ,La eficiencia del sistema y la vida util, dependen del uso adecuado y es responsabilidad del usuario. </t>
  </si>
  <si>
    <t xml:space="preserve">Planta solar MOD: GHS-25-12VDC Componentes solamente no incluye instalacion Para iluminacion a 12v Incluye: Modulos Solar  Controlador, Bateria para uso fotovoltaico, 2  Lamparas de leds, (NO PROVEE ENERGIA PARA ELECTRODOMESTICOS) + IVA Consumo: El consumo diario es de 48 w en 4 horas y un  respaldo energetico de 172w de la generacion diaria ,La eficiencia del sistema y la vida util, dependen del uso adecuado y es responsabilidad del usuario. </t>
  </si>
  <si>
    <t xml:space="preserve">Planta solar MOD: GHS-25-12VDC  Componentes solamente no incluye instalacion Para iluminacion a 12v Incluye: Modulos Solar Con cable uso rudo para cometida, Controlador, Bateria para uso fotovoltaico, 4  Lamparas de leds,   Precios  + IVA Consumo: El consumo diario es de 48 w en 4 horas  de iluminacion y una TV por 23horas y un  respaldo energetico de 136w de la generacion diaria La eficiencia del sistema y la vida util, dependen del uso adecuado y es responsabilidad del usuario. </t>
  </si>
  <si>
    <t xml:space="preserve">Planta solar MOD: GHS-25-12VDC  Instalada y Lista para ser usada Para iluminacion a 12v Incluye: Modulos Solar Con cable uso rudo para cometida, Controlador, Bateria para uso fotovoltaico, 4  Lamparas de leds,  Tv Radio y carga de celulaòes Kit de cable para Corriente Directa,  Kit de Cabledo y acceorios para alimentar electrodomestucos Instalada en Tablero  Precios  + IVA Consumo: El consumo diario es de 48 w en 4 horas  de iluminacion y una TV por 3 horas y un  respaldo energetico de 136w de la generacion diaria CLa eficiencia del sistema y la vida util, dependen del uso adecuado y es responsabilidad del usuario. </t>
  </si>
  <si>
    <t xml:space="preserve">Planta solar MOD: GHS-25-12VDC Componentes solamente no incluye instalacion Para iluminacion a 12v Incluye: Modulos Solar Con cable uso rudo para cometida, Controlador, Bateria para uso fotovoltaico, 4  Lamparas de leds,    + IVA Consumo: El consumo diario es de 48 w en 4 horas  de iluminacion y una TV por 4 Horas y un  respaldo energetico de 212w de la generacion diaria  La eficiencia del sistema y la vida util, dependen del uso adecuado y es responsabilidad del usuario. </t>
  </si>
  <si>
    <t xml:space="preserve">Planta solar MOD: GHS-25-12VDC  Instalada y Lista para ser usada Para iluminacion a 12v Incluye: Modulos Solar Con cable uso rudo para cometida, Controlador, Bateria para uso fotovoltaico, 4  Lamparas de leds,  Tv Radio y carga de celulares Kit de cable para Corriente Directa,  Kit de Cabledo y acceorios para alimentar electrodomestucos Instalada en Tablero Precios  + IVA Consumo: El consumo diario es de 48 w en 4 horas  de iluminacion y una TV por 3 horas y un  respaldo energetico de 212w de la generacion diaria La eficiencia del sistema y la vida util, dependen del uso adecuado y es responsabilidad del usuario. </t>
  </si>
  <si>
    <t xml:space="preserve">Planta solar MOD: GHS-25-12VDC Componentes solamente no incluye instalacion Para iluminacion a 12v Incluye: Modulos Solar Con cable uso rudo para cometida, Controlador, Bateria para uso fotovoltaico, 4  Lamparas de leds,   + IVA Consumo: El consumo diario es de 48 w en 4 horas  de iluminacion y una TV por 3 horas y un  respaldo energetico de 432w de la generacion diaria  La eficiencia del sistema y la vida util, dependen del uso adecuado y es responsabilidad del usuario. </t>
  </si>
  <si>
    <t xml:space="preserve">Planta solar MOD: GHS-25-12VDC  Instalada y Lista para ser usada Para iluminacion a 12v Incluye: Modulos Solar Con cable uso rudo para cometida, Controlador, Bateria para uso fotovoltaico, 4  Lamparas de leds,  Tv Radio y carga de celulares Kit de cable para Corriente Directa,  Kit de Cabledo y acceorios para alimentar electrodomestucos Instalada en Tablero Precios  + IVA Consumo: El consumo diario es de 48 w en 4 horas  de iluminacion y una TV por 3 horas y un  respaldo energetico de 432w de la generacion diaria  La eficiencia del sistema y la vida util, dependen del uso adecuado y es responsabilidad del usuario. </t>
  </si>
  <si>
    <t xml:space="preserve">Planta solar MOD: GHS-25-12VDC  Componentes solamente no incluye instalacion Para iluminacion a 12v Incluye: Modulos Solar Con cable uso rudo para cometida, Controlador, Bateria para uso fotovoltaico, 4  Lamparas de leds, + IVA Consumo: El consumo diario es de 48 w en 4 horas  de iluminacion y una TV por 3 horas y un  respaldo energetico de 628w de la generacion diaria  La eficiencia del sistema y la vida util, dependen del uso adecuado y es responsabilidad del usuario. </t>
  </si>
  <si>
    <t xml:space="preserve">Planta solar MOD: GHS-25-12VDC  Instalada y Lista para ser usada Para iluminacion a 12v Incluye: Modulos Solar Con cable uso rudo para cometida, Controlador, Bateria para uso fotovoltaico, 4  Lamparas de leds,  Tv Radio y carga de celulares Kit de cable para Corriente Directa,  Kit de Cabledo y acceorios para alimentar electrodomestucos Instalada en Tablero Precios  + IVA Consumo: El consumo diario es de 48 w en 4 horas  de iluminacion y una TV por 3 horas y un  respaldo energetico de 628w de la generacion diaria La eficiencia del sistema y la vida util, dependen del uso adecuado y es responsabilidad del usuario. </t>
  </si>
  <si>
    <t>Plantas c</t>
  </si>
  <si>
    <t>AXITEC</t>
  </si>
  <si>
    <t>Servicio Tecnico</t>
  </si>
  <si>
    <t xml:space="preserve">Tierra Fisica </t>
  </si>
  <si>
    <t>Para Rayo1</t>
  </si>
  <si>
    <t>Para Rayo2</t>
  </si>
  <si>
    <t>Para Rayo3</t>
  </si>
  <si>
    <t>Para Rayo4</t>
  </si>
  <si>
    <t>Para Rayo5</t>
  </si>
  <si>
    <t xml:space="preserve">Mastil y Torres </t>
  </si>
  <si>
    <t>Mastil 6m</t>
  </si>
  <si>
    <t>Mastil 9m</t>
  </si>
  <si>
    <t>torre 7m</t>
  </si>
  <si>
    <t>torre 10m</t>
  </si>
  <si>
    <t>torre 13 m</t>
  </si>
  <si>
    <t>torre 15 M</t>
  </si>
  <si>
    <t>Mastil Pararrayo</t>
  </si>
  <si>
    <t>Torre para rrayo</t>
  </si>
  <si>
    <t xml:space="preserve">Instalacion de planta solar con personal calificado  </t>
  </si>
  <si>
    <t xml:space="preserve">Mano de Obra Servicio Tecnico Calificado para instalacion electrica  </t>
  </si>
  <si>
    <t>Moto</t>
  </si>
  <si>
    <t>Batería  para moto, 12 V, . Vida útil: 3 a 4 años.</t>
  </si>
  <si>
    <t xml:space="preserve">Mayores Componentes: Modulos, Controladores, Baterias e  Inversor. </t>
  </si>
  <si>
    <t>Mat Elect-planta</t>
  </si>
  <si>
    <t>Mat-Electr -Port</t>
  </si>
  <si>
    <t>23 BOTONES</t>
  </si>
  <si>
    <t>material CANALIZACION</t>
  </si>
  <si>
    <t>Inst electica</t>
  </si>
  <si>
    <t xml:space="preserve">Kit electrico para alimentacion a Corriente Alterna y directa para alimentacion de  lamparas de leds a 12V Incluye Clavija,Contacto, Y accesorios para instalar </t>
  </si>
  <si>
    <t xml:space="preserve">Control de carga   FX80, 150V-12/24/48 V, seguidor de máxima potencia, 80A. Centro de comunicación Hub10 y Mate </t>
  </si>
  <si>
    <t>SISTEMA DE TIERRAS FISICA. INCLUYE REGUILETE TRANGULAR DE 30 CM DIÁMETRO, CONECTOR SOLDABLE CADWELD CABLE A CABLE CONEXIÓN TIPO T MOLDE TIC4/0-4/0 CON CARTUCHO 90 MARCA ERICO, REGISTRO PARA SISTEMA DE TIERRA COLOR VERDE CON TAPA, VENTONITA, SUMINISTROS DE MATERIALES, MANO DE OBRA, HERRAMIENTA, EQUIPO Y TODO LO NECESARIO PARA SU CORRECTA EJECUCIÓN.</t>
  </si>
  <si>
    <t>Inversor Cargador Outback Radian GS8048A, onda senoidal, 8.0 kW, 48 VCD, 120/240 VCA</t>
  </si>
  <si>
    <t>RADIANT</t>
  </si>
  <si>
    <t>Radiant8-48-240</t>
  </si>
  <si>
    <t>Gabinete metalico para integracion de planta con una Bateria 1x1</t>
  </si>
  <si>
    <t>AXI-260-4</t>
  </si>
  <si>
    <t>OK</t>
  </si>
  <si>
    <t>Bat-JAD-L24-MDC-3</t>
  </si>
  <si>
    <t xml:space="preserve">Batería  Para Uso Fotovoltaico 12 V, 115 Ah @ 100 hr, libre de mantenimiento. Vida útil: 3 a 4 años. </t>
  </si>
  <si>
    <t>CALE-115-1</t>
  </si>
  <si>
    <t>CNX-S-482</t>
  </si>
  <si>
    <t>SS-480-1</t>
  </si>
  <si>
    <t>SS-480-2</t>
  </si>
  <si>
    <t>SS-480-3</t>
  </si>
  <si>
    <t>|</t>
  </si>
  <si>
    <t>Mano de Obra 1</t>
  </si>
  <si>
    <t>Mano de Obra 2</t>
  </si>
  <si>
    <t>Mano de Obra 3</t>
  </si>
  <si>
    <t>instalacion</t>
  </si>
  <si>
    <t>MODULOS</t>
  </si>
  <si>
    <t>CONTROLADORES</t>
  </si>
  <si>
    <t>CONTRAOLADORES</t>
  </si>
  <si>
    <t>BATERIAS</t>
  </si>
  <si>
    <t>INVERSORES</t>
  </si>
  <si>
    <t xml:space="preserve">MR Y PAR </t>
  </si>
  <si>
    <t xml:space="preserve">NAUTILUS </t>
  </si>
  <si>
    <t>KIT</t>
  </si>
  <si>
    <t>TABLERO</t>
  </si>
  <si>
    <t>BASTIDOR</t>
  </si>
  <si>
    <t>SOP TUBULAR</t>
  </si>
  <si>
    <t>GABINETE</t>
  </si>
  <si>
    <t>REFRIGERADORES</t>
  </si>
  <si>
    <t>CANALIZACION</t>
  </si>
  <si>
    <t>MANO DE OBRA</t>
  </si>
  <si>
    <t xml:space="preserve">STIERRAS </t>
  </si>
  <si>
    <t>RAYOS</t>
  </si>
  <si>
    <t>MASTIL</t>
  </si>
  <si>
    <t>Tierra Fisica</t>
  </si>
  <si>
    <t xml:space="preserve">PV Combiner </t>
  </si>
  <si>
    <t xml:space="preserve">Gabinete plástico </t>
  </si>
  <si>
    <t>CONTROL DE CARGA</t>
  </si>
  <si>
    <t>BATERIA</t>
  </si>
  <si>
    <t>INVERSOR</t>
  </si>
  <si>
    <t>0</t>
  </si>
  <si>
    <t>PROYECTO</t>
  </si>
  <si>
    <t>Opciones de pago y descuentos y forma de pago</t>
  </si>
  <si>
    <t xml:space="preserve">al terminar y entregar proyecto a satisfaccion del cliente </t>
  </si>
  <si>
    <t>TIEMPO DE ENTREGA: 8 dias habiles a partir de la confirmacion de pago</t>
  </si>
  <si>
    <t xml:space="preserve">Servicio Tecnico Calificado instalacion de planta y adecuaciones necesarias para una correcta  operación de plantasolar autonoma </t>
  </si>
  <si>
    <t>Ma de los  Angeles Fernandez Trujillo</t>
  </si>
  <si>
    <t xml:space="preserve">PAGO EN EFECTIVO Y SIN FACTURA </t>
  </si>
  <si>
    <t>BANCOMER</t>
  </si>
  <si>
    <t xml:space="preserve">CUENTA </t>
  </si>
  <si>
    <t>USA-750-12</t>
  </si>
  <si>
    <t xml:space="preserve">Inversor DE 750  V  para alimentar TV Iluminacion Celulares-Gravadora y electrodomesticos de bajo consumo </t>
  </si>
  <si>
    <t>BLAST -750-12</t>
  </si>
  <si>
    <t>BLAST USA -1000-12</t>
  </si>
  <si>
    <t>USA-1000-12</t>
  </si>
  <si>
    <t xml:space="preserve">Inversor DE 1000  V  para alimentar TV Iluminacion Celulares-Gravadora licuadora  y electrodomesticos de bajo consumo </t>
  </si>
  <si>
    <t>AXI-270</t>
  </si>
  <si>
    <t>DESCRIPCION</t>
  </si>
  <si>
    <t>COSTO</t>
  </si>
  <si>
    <t>PRECIO</t>
  </si>
  <si>
    <t>CNX-S-460</t>
  </si>
  <si>
    <t>Batería  S-460, 6V, 460Ah @ 100h, abierta, inundada, ciclo profundo, vida útil 7 años.</t>
  </si>
  <si>
    <t>NAUT-30</t>
  </si>
  <si>
    <t>Luminaria Urbana Modelo Naut de 30w a 127-220 VCA con LED OSRAM E5 de 0.5 watts en Blanco Frío Para una altura de 6 metros, con distancia interpostal de 29 metros Con grado de Protección IP65 Factor de potencia: 0.94 IRC&gt;85 Temperatura de trabajo: -10°C a +50°C Eficiencia: 140lm/watt Flujo luminoso: 6300 lúmenes Dimensiones: largo de 59.5 cm, ancho 29.5 cm, altura 8.5 cm; peso 5.200 kg. Montaje superficial, con manufactura y tecnología mexicana. Garantía de 1 año de cambio del producto en caso de falla y 5 años de garantía limitada adicional</t>
  </si>
  <si>
    <t xml:space="preserve"> Luminaria LED ASSIC modelo Mini Reflector Stella diseñada para la sustitución de reflectores convencionales de halógeno, cuenta con las siguientes características: •    Potencia: 20W. •    Voltaje de operación: 24 VCD. •    Eficiencia del LED 140 lm/W. •    Flujo luminoso: 2800 •    Tamaño: 25 x 10 cm. •    Difusor acrílico transparente •    Cuerpo de aluminio con pintura electrostática para exterior. •    Soporte de montaje ajustable fabricado en acero con pintura electrostática para exterior. •    Patrón de radiación: 120º Lambertiano. •    Nivel de protección IP66. •    Tono de luz: Blanco Frío •    Fotocelda integrada para encendido nocturno automático. •    Conexión directa y sin balastros. • GARANTÍA LIMITADA POR 5 AÑOS</t>
  </si>
  <si>
    <t>MR-STELA-20W</t>
  </si>
  <si>
    <t xml:space="preserve">Módulo Axitec 330, Policristalino  330W, 60 celdas. Certificaciónes IEC, CE, UL. Garantía de potencia 25 años al 82.5%, lineal en el tiempo. El módulo solar de mayor eficiencia en su tipo. </t>
  </si>
  <si>
    <t xml:space="preserve">SOLAR EVER </t>
  </si>
  <si>
    <t>Mod-S-E-150</t>
  </si>
  <si>
    <t xml:space="preserve">MODELOS DE PLANTAS CON INSTALACION Y SIN INSTALACION </t>
  </si>
  <si>
    <t xml:space="preserve">GHS-300-12V-SIN </t>
  </si>
  <si>
    <t xml:space="preserve">GHS-50-127 </t>
  </si>
  <si>
    <t xml:space="preserve">  </t>
  </si>
  <si>
    <t xml:space="preserve">GHS-200-12V-SIN </t>
  </si>
  <si>
    <r>
      <t xml:space="preserve">Planta solar MOD: GHS-25-12VDC </t>
    </r>
    <r>
      <rPr>
        <b/>
        <i/>
        <sz val="12"/>
        <color rgb="FF002060"/>
        <rFont val="Calibri"/>
        <family val="2"/>
        <scheme val="minor"/>
      </rPr>
      <t xml:space="preserve">Componentes solamente </t>
    </r>
    <r>
      <rPr>
        <i/>
        <sz val="12"/>
        <color rgb="FF002060"/>
        <rFont val="Calibri"/>
        <family val="2"/>
        <scheme val="minor"/>
      </rPr>
      <t xml:space="preserve">no incluye instalacion Para iluminacion a 12v Incluye: Modulos Solar  Controlador, Bateria para uso fotovoltaico, 2  Lamparas de leds, (NO PROVEE ENERGIA PARA ELECTRODOMESTICOS) + IVA Consumo: El consumo diario es de 48 w en 4 horas y un  respaldo energetico de 62w de la generacion diaria , La eficiencia del sistema y la vida util, dependen del uso adecuado y es responsabilidad del usuario. </t>
    </r>
    <r>
      <rPr>
        <b/>
        <i/>
        <sz val="12"/>
        <color rgb="FF002060"/>
        <rFont val="Calibri"/>
        <family val="2"/>
        <scheme val="minor"/>
      </rPr>
      <t xml:space="preserve">Costo Total de planta para iluminacion solamente a 12v sin Corriente alterna para electrodomesticos </t>
    </r>
  </si>
  <si>
    <r>
      <t xml:space="preserve">Planta solar MOD: GHS-25-12VDC </t>
    </r>
    <r>
      <rPr>
        <b/>
        <i/>
        <sz val="14"/>
        <color rgb="FF002060"/>
        <rFont val="Calibri"/>
        <family val="2"/>
        <scheme val="minor"/>
      </rPr>
      <t>Instalada y Lista para ser usadaPara iluminacion a 12v Incluye</t>
    </r>
    <r>
      <rPr>
        <i/>
        <sz val="12"/>
        <color rgb="FF002060"/>
        <rFont val="Calibri"/>
        <family val="2"/>
        <scheme val="minor"/>
      </rPr>
      <t xml:space="preserve">: Modulos Solar Con cable uso rudo para cometida, Controlador, Bateria para uso fotovoltaico, 2  Lamparas de leds, Kit de cable para Corriente Directa, Instalada en Tablero (NO PROVEE ENERGIA PARA ELECTRODOMESTICOS) + IVA Consumo: El consumo diario es de 48 w en 4 horas y un  respaldo energetico de 62w de la generacion diaria ,  La eficiencia del sistema y la vida util, dependen del uso adecuado y es responsabilidad del usuario. </t>
    </r>
    <r>
      <rPr>
        <b/>
        <i/>
        <sz val="12"/>
        <color rgb="FF002060"/>
        <rFont val="Calibri"/>
        <family val="2"/>
        <scheme val="minor"/>
      </rPr>
      <t xml:space="preserve">planta para iluminacion a 12v sin Corriente alterna INSTALADA LISTA PARA USAR </t>
    </r>
  </si>
  <si>
    <t>GHS-80-127-SIN</t>
  </si>
  <si>
    <t xml:space="preserve">1         25-DC-SIN INSTALACION </t>
  </si>
  <si>
    <t>1  25 -DC-</t>
  </si>
  <si>
    <t xml:space="preserve">2 50-127 -AC DC INSTALADA  LISTA PARA USAR </t>
  </si>
  <si>
    <t xml:space="preserve">3 80-127 AC-DC </t>
  </si>
  <si>
    <t xml:space="preserve">4 100-    AC DC SIN INSTALACION </t>
  </si>
  <si>
    <t xml:space="preserve">4 100-   AC DC   INSTALADA </t>
  </si>
  <si>
    <t xml:space="preserve">5 150-    AC DC Componentes solamente </t>
  </si>
  <si>
    <t>2 50-AC-DC-</t>
  </si>
  <si>
    <t xml:space="preserve">3 80-127-AC DC </t>
  </si>
  <si>
    <t xml:space="preserve">7 300-   AC DC SIN  INSTALACION </t>
  </si>
  <si>
    <t xml:space="preserve">7 300- AC DC   </t>
  </si>
  <si>
    <r>
      <rPr>
        <b/>
        <i/>
        <sz val="12"/>
        <color rgb="FF002060"/>
        <rFont val="Calibri"/>
        <family val="2"/>
        <scheme val="minor"/>
      </rPr>
      <t xml:space="preserve">Planta solar MOD: GHS-300-12VDC  Componentes solamente ensamblada y lista para usar  </t>
    </r>
    <r>
      <rPr>
        <i/>
        <sz val="12"/>
        <color rgb="FF002060"/>
        <rFont val="Calibri"/>
        <family val="2"/>
        <scheme val="minor"/>
      </rPr>
      <t xml:space="preserve">incluye instalacion Para iluminacion a 12v Incluye: Modulos Solar Con cable uso rudo para cometida, Controlador, Bateria para uso fotovoltaico, 4  Lamparas de leds, + IVA Consumo: El consumo diario es de 48 w en 4 horas  de iluminacion y una TV por 3 horas y un  respaldo energetico de 1200w de la generacion diaria  La eficiencia del sistema y la vida util, dependen del uso adecuado y es responsabilidad del usuario. </t>
    </r>
  </si>
  <si>
    <r>
      <rPr>
        <b/>
        <i/>
        <sz val="12"/>
        <color rgb="FF002060"/>
        <rFont val="Calibri"/>
        <family val="2"/>
        <scheme val="minor"/>
      </rPr>
      <t>Planta solar MOD: GHS-300-12VDC  Componentes solamente no incluye instalacion</t>
    </r>
    <r>
      <rPr>
        <i/>
        <sz val="12"/>
        <color rgb="FF002060"/>
        <rFont val="Calibri"/>
        <family val="2"/>
        <scheme val="minor"/>
      </rPr>
      <t xml:space="preserve"> Para iluminacion a 12v  y corriente alterna Incluye: Modulos Solar Controlador, Bateria para uso fotovoltaico, inversor y 4  Lamparas de leds,Consumo: El consumo diario es de 48 w en 4 horas  de iluminacion y una TV por 3 horas y un  respaldo energetico de 1200w de la generacion diaria  La eficiencia del sistema y la vida util, dependen del uso adecuado y es responsabilidad del usuario. </t>
    </r>
  </si>
  <si>
    <r>
      <rPr>
        <b/>
        <i/>
        <sz val="12"/>
        <color rgb="FF002060"/>
        <rFont val="Calibri"/>
        <family val="2"/>
        <scheme val="minor"/>
      </rPr>
      <t xml:space="preserve">Planta solar MOD: GHS-200-12VDC  Componentes solamente </t>
    </r>
    <r>
      <rPr>
        <i/>
        <sz val="12"/>
        <color rgb="FF002060"/>
        <rFont val="Calibri"/>
        <family val="2"/>
        <scheme val="minor"/>
      </rPr>
      <t xml:space="preserve">incluye instalacion Para iluminacion a 12v Incluye: Modulos Solar Con cable uso rudo para cometida, Controlador, Bateria para uso fotovoltaico, inversor y 4  Lamparas de leds, + IVA Consumo: El consumo diario es de 48 w en 4 horas  de iluminacion y una TV por 3 horas y un  respaldo energetico de 900w de la generacion diaria  La eficiencia del sistema y la vida util, dependen del uso adecuado y es responsabilidad del usuario. </t>
    </r>
  </si>
  <si>
    <r>
      <rPr>
        <b/>
        <i/>
        <sz val="12"/>
        <color rgb="FF002060"/>
        <rFont val="Calibri"/>
        <family val="2"/>
        <scheme val="minor"/>
      </rPr>
      <t xml:space="preserve">Planta solar MOD: GHS-150-12VDC  Componentes solamente </t>
    </r>
    <r>
      <rPr>
        <i/>
        <sz val="12"/>
        <color rgb="FF002060"/>
        <rFont val="Calibri"/>
        <family val="2"/>
        <scheme val="minor"/>
      </rPr>
      <t xml:space="preserve">Para iluminacion a 12v Incluye: Modulos Solar Controlador, Bateria para uso fotovoltaico, inversor y 4  Lamparas de leds,  Tv Radio y carga de celulares Kit de cable para Corriente Directa,  Kit de Cabledo y acceorios para alimentar electrodomestucos Instalada en Tablero Precios  + IVA Consumo: El consumo diario es de 48 w en 4 horas  de iluminacion y una TV por 3 horas y un  respaldo energetico de 900w de la generacion diaria La eficiencia del sistema y la vida util, dependen del uso adecuado y es responsabilidad del usuario. </t>
    </r>
  </si>
  <si>
    <r>
      <t xml:space="preserve">Planta solar MOD: GHS-100-12VDC </t>
    </r>
    <r>
      <rPr>
        <b/>
        <i/>
        <sz val="12"/>
        <color rgb="FF002060"/>
        <rFont val="Calibri"/>
        <family val="2"/>
        <scheme val="minor"/>
      </rPr>
      <t xml:space="preserve">Instalada y lista para usar  </t>
    </r>
    <r>
      <rPr>
        <i/>
        <sz val="12"/>
        <color rgb="FF002060"/>
        <rFont val="Calibri"/>
        <family val="2"/>
        <scheme val="minor"/>
      </rPr>
      <t xml:space="preserve"> incluye instalacion Para iluminacion a 12v Incluye: Modulos Solar Con cable uso rudo para cometida, Controlador, Bateria para uso fotovoltaico, inversor y  4  Lamparas de leds,     Consumo: El consumo diario es de 48 w en 4 horas  de iluminacion y una TV por 4 Horas y un  respaldo energetico de 400w de la generacion diaria  La eficiencia del sistema y la vida util, dependen del uso adecuado y es responsabilidad del usuario. </t>
    </r>
  </si>
  <si>
    <r>
      <rPr>
        <b/>
        <i/>
        <sz val="12"/>
        <color rgb="FF002060"/>
        <rFont val="Calibri"/>
        <family val="2"/>
        <scheme val="minor"/>
      </rPr>
      <t>Planta solar MOD: GHS-80-12VDC Componentes solamente</t>
    </r>
    <r>
      <rPr>
        <i/>
        <sz val="12"/>
        <color rgb="FF002060"/>
        <rFont val="Calibri"/>
        <family val="2"/>
        <scheme val="minor"/>
      </rPr>
      <t xml:space="preserve"> no incluye instalacion Para iluminacion a 12v  y corriente alterna: Yncluye Modulo Solar Controlador, Bateria para uso fotovoltaico, inversor 4  Lamparas de leds,  Precios  + IVA Consumo: El consumo diario es de 48 w en 4 horas  de iluminacion y una TV por 2 horas y un  respaldo energetico de 400w de la generacion diaria La eficiencia del sistema y la vida util, dependen del uso adecuado y es responsabilidad del usuario. </t>
    </r>
  </si>
  <si>
    <r>
      <rPr>
        <b/>
        <i/>
        <sz val="12"/>
        <color rgb="FF002060"/>
        <rFont val="Calibri"/>
        <family val="2"/>
        <scheme val="minor"/>
      </rPr>
      <t xml:space="preserve">Planta solar MOD: GHS-50-12VDC Componentes solamente no incluye instalacion Para iluminacion a 12v Incluye y cirriente alterna </t>
    </r>
    <r>
      <rPr>
        <i/>
        <sz val="12"/>
        <color rgb="FF002060"/>
        <rFont val="Calibri"/>
        <family val="2"/>
        <scheme val="minor"/>
      </rPr>
      <t xml:space="preserve">: Modulos Solar  Controlador, Bateria para uso fotovoltaico, Inversors y 2  Lamparas  (PROVEE ENERGIA PARA ELECTRODOMESTICOS) Consumo: El consumo diario es de 48 w en 4 horas y un  respaldo energetico de 172w de la generacion diaria ,La eficiencia del sistema y la vida util, dependen del uso adecuado y es responsabilidad del usuario. </t>
    </r>
  </si>
  <si>
    <r>
      <rPr>
        <b/>
        <i/>
        <sz val="12"/>
        <color rgb="FF002060"/>
        <rFont val="Calibri"/>
        <family val="2"/>
        <scheme val="minor"/>
      </rPr>
      <t>Planta solar MOD: GHS-50-12VDC  Instalada y Lista para ser usada Para iluminacion a 12v Incluye y corriente alterna para electrodomesticos</t>
    </r>
    <r>
      <rPr>
        <i/>
        <sz val="12"/>
        <color rgb="FF002060"/>
        <rFont val="Calibri"/>
        <family val="2"/>
        <scheme val="minor"/>
      </rPr>
      <t xml:space="preserve">: Modulos Solar Con cable uso rudo para cometida, Controlador, Bateria para uso fotovoltaico, e inversor y 3  Lamparas a 12 v ,  Tv Radio y carga de celulares Kit de cable para Corriente Directa,  Kit de Cabledo y acceorios para alimentar electrodomestucos Instalada en Tablero Precios  + IVA Consumo: El consumo diario es de 48 w en 4 horas  de iluminacion y una TV por 2 horas y un  respaldo energetico de 172w de la generacion diaria , La eficiencia del sistema y la vida util, dependen del uso adecuado y es responsabilidad del usuario. </t>
    </r>
  </si>
  <si>
    <r>
      <rPr>
        <b/>
        <i/>
        <sz val="12"/>
        <color rgb="FF002060"/>
        <rFont val="Calibri"/>
        <family val="2"/>
        <scheme val="minor"/>
      </rPr>
      <t xml:space="preserve">Planta solar MOD: GHS-80-12VDC  Instalada y Lista para ser usada </t>
    </r>
    <r>
      <rPr>
        <i/>
        <sz val="12"/>
        <color rgb="FF002060"/>
        <rFont val="Calibri"/>
        <family val="2"/>
        <scheme val="minor"/>
      </rPr>
      <t xml:space="preserve">Para uso basico a 12v Incluye: Modulos Solar Con cable uso rudo para cometida, Controlador, Bateria para uso fotovoltaico, inversorr para corriente alterna 4  Lamparas de leds,  Tv Radio y carga de celulaòes Kit de cable para Corriente Directa,  Kit de Cabledo y acceorios para alimentar electrodomestucos Instalada en Tablero  Consumo: El consumo diario es de 48 w en 4 horas  de iluminacion y una TV por 3 horas y un  respaldo energetico de 250w de la generacion diaria CLa eficiencia del sistema y la vida util, dependen del uso adecuado y es responsabilidad del usuario. </t>
    </r>
  </si>
  <si>
    <r>
      <rPr>
        <b/>
        <i/>
        <sz val="12"/>
        <color rgb="FF002060"/>
        <rFont val="Calibri"/>
        <family val="2"/>
        <scheme val="minor"/>
      </rPr>
      <t>Planta solar MOD: GHS-80-12VDC Componentes solamente no incluye instalacion a 12v  y corriente alterna:</t>
    </r>
    <r>
      <rPr>
        <i/>
        <sz val="12"/>
        <color rgb="FF002060"/>
        <rFont val="Calibri"/>
        <family val="2"/>
        <scheme val="minor"/>
      </rPr>
      <t xml:space="preserve"> Yncluye Modulo Solar Controlador, Bateria para uso fotovoltaico, inversor 4  Lamparas a 12v ,   Consumo: El consumo diario es de 48 w en 4 horas  de iluminacion y una TV por 2 horas y un  respaldo energetico de 250w de la generacion diaria La eficiencia del sistema y la vida util, dependen del uso adecuado y es responsabilidad del usuario. </t>
    </r>
  </si>
  <si>
    <t xml:space="preserve">5 150-  AC DC SIN  INSTALACION </t>
  </si>
  <si>
    <t xml:space="preserve">6 200-    AC DC </t>
  </si>
  <si>
    <r>
      <rPr>
        <b/>
        <i/>
        <sz val="12"/>
        <color rgb="FF002060"/>
        <rFont val="Calibri"/>
        <family val="2"/>
        <scheme val="minor"/>
      </rPr>
      <t xml:space="preserve">Planta solar MOD: GHS-200-12VDC  Componentes solamente </t>
    </r>
    <r>
      <rPr>
        <i/>
        <sz val="12"/>
        <color rgb="FF002060"/>
        <rFont val="Calibri"/>
        <family val="2"/>
        <scheme val="minor"/>
      </rPr>
      <t xml:space="preserve">Para iluminacion a 12v Incluye: Modulos Solar Controlador, Bateria para uso fotovoltaico, inversor y 4  Lamparas de leds, para alimentar Tv Radio y carga de celulares Kit de cable para Corriente Directa,  Kit de Cabledo y acceorios para alimentar electrodomestucos Instalada en Tablero Precios  + IVA Consumo: El consumo diario es de 48 w en 4 horas  de iluminacion y una TV por 3 horas y un  respaldo energetico de 900w de la generacion diaria La eficiencia del sistema y la vida util, dependen del uso adecuado y es responsabilidad del usuario. </t>
    </r>
  </si>
  <si>
    <r>
      <rPr>
        <b/>
        <i/>
        <sz val="12"/>
        <color rgb="FF002060"/>
        <rFont val="Calibri"/>
        <family val="2"/>
        <scheme val="minor"/>
      </rPr>
      <t xml:space="preserve">Planta solar MOD: GHS-200-12VDC  Componentes solamente </t>
    </r>
    <r>
      <rPr>
        <i/>
        <sz val="12"/>
        <color rgb="FF002060"/>
        <rFont val="Calibri"/>
        <family val="2"/>
        <scheme val="minor"/>
      </rPr>
      <t xml:space="preserve">incluye instalacion Para iluminacion a 12v  y corriente alterna Incluye: Modulos Solar Con cable uso rudo para cometida, Controlador, Bateria para uso fotovoltaico, inversor y 4  Lamparas de leds, Consumo: El consumo diario es de 48 w en 4 horas  de iluminacion y una TV por 3 horas y un  respaldo energetico de 900w de la generacion diaria  La eficiencia del sistema y la vida util, dependen del uso adecuado y es responsabilidad del usuario. </t>
    </r>
  </si>
  <si>
    <t xml:space="preserve">5 200-  AC DC SIN  INSTALACION </t>
  </si>
  <si>
    <t xml:space="preserve">Módulo Axi 260, Policristalino  2705W, 60 celdas. Certificaciónes IEC, CE, UL. Garantía de potencia 25 años al 82.5%, lineal en el tiempo. El módulo solar de mayor eficiencia en su tipo. </t>
  </si>
  <si>
    <t>Columna1</t>
  </si>
  <si>
    <t xml:space="preserve">SOLUCIONES ENERGETICAS DE MICHOACAN SAS DE CV </t>
  </si>
  <si>
    <t xml:space="preserve">DATOS BANCARIOS </t>
  </si>
  <si>
    <t xml:space="preserve">BANCO: BANCOMER </t>
  </si>
  <si>
    <t>CUENTA:</t>
  </si>
  <si>
    <t>CLABE INTERBANCARIA 012528001116424052</t>
  </si>
  <si>
    <t>Soluciones Energeticas de Michoacan SAS. De CV</t>
  </si>
  <si>
    <r>
      <t>Módulo multicristalino 150W. Garantía de potencia lineal de 85% a 12 años.</t>
    </r>
    <r>
      <rPr>
        <i/>
        <sz val="11"/>
        <color theme="7" tint="-0.499984740745262"/>
        <rFont val="Arial"/>
        <family val="2"/>
      </rPr>
      <t>Nacionales</t>
    </r>
  </si>
  <si>
    <r>
      <t>Módulo multicristalino 130W. Garantía de potencia lineal de 85% a 12 años.</t>
    </r>
    <r>
      <rPr>
        <i/>
        <sz val="11"/>
        <color theme="7" tint="-0.499984740745262"/>
        <rFont val="Arial"/>
        <family val="2"/>
      </rPr>
      <t>Nacionales</t>
    </r>
  </si>
  <si>
    <r>
      <t>Módulo multicristalino 100W. Garantía de potencia lineal de 85% a 12 años.</t>
    </r>
    <r>
      <rPr>
        <i/>
        <sz val="11"/>
        <color theme="7" tint="-0.499984740745262"/>
        <rFont val="Arial"/>
        <family val="2"/>
      </rPr>
      <t>Nacionales</t>
    </r>
  </si>
  <si>
    <r>
      <t>Módulo multicristalino 80W. Garantía de potencia lineal de 85% a 12 años.</t>
    </r>
    <r>
      <rPr>
        <i/>
        <sz val="11"/>
        <color theme="7" tint="-0.499984740745262"/>
        <rFont val="Arial"/>
        <family val="2"/>
      </rPr>
      <t>Nacionales</t>
    </r>
  </si>
  <si>
    <r>
      <t>Módulo multicristalino 50W. Garantía de potencia lineal de 85% a 12 años</t>
    </r>
    <r>
      <rPr>
        <i/>
        <sz val="12"/>
        <color theme="7" tint="-0.499984740745262"/>
        <rFont val="Arial"/>
        <family val="2"/>
      </rPr>
      <t>.Nacionales</t>
    </r>
  </si>
  <si>
    <r>
      <t>Módulo multicristalino25W. Garantía de potencia lineal de 85% a 12 años</t>
    </r>
    <r>
      <rPr>
        <sz val="10"/>
        <rFont val="Calibri"/>
        <family val="2"/>
        <scheme val="minor"/>
      </rPr>
      <t>.</t>
    </r>
    <r>
      <rPr>
        <sz val="11"/>
        <rFont val="Calibri"/>
        <family val="2"/>
        <scheme val="minor"/>
      </rPr>
      <t>Nacionales</t>
    </r>
  </si>
  <si>
    <r>
      <t>Módulo multicristalino5W. Garantía de potencia lineal de 85% a 12 años</t>
    </r>
    <r>
      <rPr>
        <sz val="10"/>
        <rFont val="Calibri"/>
        <family val="2"/>
        <scheme val="minor"/>
      </rPr>
      <t>.</t>
    </r>
    <r>
      <rPr>
        <sz val="11"/>
        <rFont val="Calibri"/>
        <family val="2"/>
        <scheme val="minor"/>
      </rPr>
      <t>Nacionales</t>
    </r>
  </si>
  <si>
    <r>
      <t xml:space="preserve">Inversor Cargador  </t>
    </r>
    <r>
      <rPr>
        <sz val="10"/>
        <rFont val="Calibri"/>
        <family val="2"/>
        <scheme val="minor"/>
      </rPr>
      <t>onda senoidal pura 2.2 kW, 12VCD a 120 VCA, aplicación fuera de la red</t>
    </r>
  </si>
  <si>
    <r>
      <t xml:space="preserve">Inversor Cargador  </t>
    </r>
    <r>
      <rPr>
        <sz val="10"/>
        <rFont val="Calibri"/>
        <family val="2"/>
        <scheme val="minor"/>
      </rPr>
      <t>onda senoidal pura 2.2 kW, 24VCD a 120 VCA, aplicación fuera de la red</t>
    </r>
  </si>
  <si>
    <r>
      <t xml:space="preserve">Inversor Cargador </t>
    </r>
    <r>
      <rPr>
        <sz val="10"/>
        <rFont val="Calibri"/>
        <family val="2"/>
        <scheme val="minor"/>
      </rPr>
      <t xml:space="preserve"> interactivo con la red, onda senoidal 3.5 kW, 24 VCD, 127 VCA. Configuración para México</t>
    </r>
  </si>
  <si>
    <r>
      <t xml:space="preserve">Inversor Cargador </t>
    </r>
    <r>
      <rPr>
        <sz val="10"/>
        <rFont val="Calibri"/>
        <family val="2"/>
        <scheme val="minor"/>
      </rPr>
      <t xml:space="preserve"> interactivo con la red, onda senoidal 3.6 kW, 48 VCD, 127 VCA. Configuración para México</t>
    </r>
  </si>
  <si>
    <r>
      <t>Tablero metalico y Aluminio Antiderrapante para Integracion de Sistema para uso basico para una bateria  (planta lista para usar)</t>
    </r>
    <r>
      <rPr>
        <sz val="10"/>
        <rFont val="Calibri"/>
        <family val="2"/>
        <scheme val="minor"/>
      </rPr>
      <t xml:space="preserve">PARA UNA BATERIA </t>
    </r>
  </si>
  <si>
    <r>
      <t>Tablero metalico y Aluminio Antiderrapante para Integracion de Sistema para uso basico   (planta lista para usar)</t>
    </r>
    <r>
      <rPr>
        <sz val="10"/>
        <rFont val="Calibri"/>
        <family val="2"/>
        <scheme val="minor"/>
      </rPr>
      <t xml:space="preserve">PARA DOS  BATERIAS </t>
    </r>
  </si>
  <si>
    <r>
      <t>Tablero metalico y Aluminio Antiderrapante para Integracion de Sistema para uso basico  (planta lista para usar)</t>
    </r>
    <r>
      <rPr>
        <sz val="10"/>
        <rFont val="Calibri"/>
        <family val="2"/>
        <scheme val="minor"/>
      </rPr>
      <t xml:space="preserve">PARA TRES BATERIAS </t>
    </r>
  </si>
  <si>
    <r>
      <t>Tablero metalico y Aluminio Antiderrapante para Integracion de Sistema para uso basico  (planta lista para usar)</t>
    </r>
    <r>
      <rPr>
        <sz val="10"/>
        <rFont val="Calibri"/>
        <family val="2"/>
        <scheme val="minor"/>
      </rPr>
      <t xml:space="preserve">PARA CUATRO BATERIAS </t>
    </r>
  </si>
  <si>
    <r>
      <t>Tablero metalico y Aluminio Antiderrapante para Integracion de Sistema para uso basico  (planta lista para usar)</t>
    </r>
    <r>
      <rPr>
        <sz val="10"/>
        <rFont val="Calibri"/>
        <family val="2"/>
        <scheme val="minor"/>
      </rPr>
      <t xml:space="preserve">PARA CINCO  BATERIAS </t>
    </r>
  </si>
  <si>
    <r>
      <t>Tablero metalico y Aluminio Antiderrapante para Integracion de Sistema para uso basico   (planta lista para usar)</t>
    </r>
    <r>
      <rPr>
        <sz val="10"/>
        <rFont val="Calibri"/>
        <family val="2"/>
        <scheme val="minor"/>
      </rPr>
      <t xml:space="preserve">PARA SEIS BATERIAS </t>
    </r>
  </si>
  <si>
    <r>
      <t>Tablero metalico y Aluminio Antiderrapante para Integracion de Sistema para uso basico  (planta lista para usar)</t>
    </r>
    <r>
      <rPr>
        <sz val="10"/>
        <rFont val="Calibri"/>
        <family val="2"/>
        <scheme val="minor"/>
      </rPr>
      <t xml:space="preserve">PARA OCHO BATERIAS </t>
    </r>
  </si>
  <si>
    <r>
      <rPr>
        <sz val="12"/>
        <rFont val="Calibri"/>
        <family val="2"/>
        <scheme val="minor"/>
      </rPr>
      <t xml:space="preserve">Bastidor de aluminio </t>
    </r>
    <r>
      <rPr>
        <sz val="10"/>
        <rFont val="Calibri"/>
        <family val="2"/>
        <scheme val="minor"/>
      </rPr>
      <t xml:space="preserve">para 1módulos de 50 W a 130 W para fijación a piso o losa, incluye tornillería inoxidable y escuadras para fijación </t>
    </r>
  </si>
  <si>
    <r>
      <rPr>
        <sz val="10"/>
        <rFont val="Calibri"/>
        <family val="2"/>
        <scheme val="minor"/>
      </rPr>
      <t xml:space="preserve">Bastidor de aluminio para 2 módulos de 50 W a 130 W para fijación a piso o losa, incluye tornillería inoxidable y escuadras para fijación </t>
    </r>
  </si>
  <si>
    <r>
      <rPr>
        <sz val="10"/>
        <rFont val="Calibri"/>
        <family val="2"/>
        <scheme val="minor"/>
      </rPr>
      <t xml:space="preserve">Bastidor de aluminio para 3 módulos de 50 W a 130 W para fijación a piso o losa, incluye tornillería inoxidable y escuadras para fijación </t>
    </r>
  </si>
  <si>
    <r>
      <rPr>
        <sz val="10"/>
        <rFont val="Calibri"/>
        <family val="2"/>
        <scheme val="minor"/>
      </rPr>
      <t xml:space="preserve">Bastidor de aluminio para 4 módulos de 50 W a 130 W para fijación a piso o losa, incluye tornillería inoxidable y escuadras para fijación </t>
    </r>
  </si>
  <si>
    <r>
      <rPr>
        <sz val="10"/>
        <rFont val="Calibri"/>
        <family val="2"/>
        <scheme val="minor"/>
      </rPr>
      <t>Bastidor de aluminio para 1 módulo de 250 W para fijación a piso o losa, incluye tornillería inoxidable y escuadras para fijación.</t>
    </r>
  </si>
  <si>
    <r>
      <rPr>
        <sz val="10"/>
        <rFont val="Calibri"/>
        <family val="2"/>
        <scheme val="minor"/>
      </rPr>
      <t xml:space="preserve">Bastidor de aluminio para 2 módulos de 250 W para fijación a piso o losa, incluye tornillería inoxidable y escuadras para fijación. </t>
    </r>
  </si>
  <si>
    <r>
      <rPr>
        <sz val="10"/>
        <rFont val="Calibri"/>
        <family val="2"/>
        <scheme val="minor"/>
      </rPr>
      <t>Bastidor de aluminio para 3 módulos de 250 W para fijación a piso o losa, incluye tornillería inoxidable y escuadras para fijación.</t>
    </r>
  </si>
  <si>
    <r>
      <rPr>
        <sz val="10"/>
        <rFont val="Calibri"/>
        <family val="2"/>
        <scheme val="minor"/>
      </rPr>
      <t>Bastidor de aluminio para 4 módulos de 250 W para fijación a piso o losa, incluye tornillería inoxidable y escuadras para fijación.</t>
    </r>
  </si>
  <si>
    <r>
      <rPr>
        <sz val="10"/>
        <rFont val="Calibri"/>
        <family val="2"/>
        <scheme val="minor"/>
      </rPr>
      <t xml:space="preserve">Soporte tubular con inclinación/orientación ajustable para </t>
    </r>
    <r>
      <rPr>
        <sz val="11"/>
        <rFont val="Calibri"/>
        <family val="2"/>
        <scheme val="minor"/>
      </rPr>
      <t>2</t>
    </r>
    <r>
      <rPr>
        <sz val="10"/>
        <rFont val="Calibri"/>
        <family val="2"/>
        <scheme val="minor"/>
      </rPr>
      <t xml:space="preserve"> módulo (50W a 130 W). Incluye: Tubo acero  de 3 m altura (ced.30, 60 mm. diam), cabezal , travesaño "T" + abrazadera, tornillería</t>
    </r>
  </si>
  <si>
    <r>
      <rPr>
        <sz val="10"/>
        <rFont val="Calibri"/>
        <family val="2"/>
        <scheme val="minor"/>
      </rPr>
      <t>Soporte tubular con inclinación/orientación ajustable para</t>
    </r>
    <r>
      <rPr>
        <sz val="11"/>
        <rFont val="Calibri"/>
        <family val="2"/>
        <scheme val="minor"/>
      </rPr>
      <t xml:space="preserve"> 3</t>
    </r>
    <r>
      <rPr>
        <sz val="10"/>
        <rFont val="Calibri"/>
        <family val="2"/>
        <scheme val="minor"/>
      </rPr>
      <t xml:space="preserve"> módulo (50W a 130 W). Incluye: Tubo acero  de 3 m altura (ced.30, 60 mm. diam), cabezal , travesaño "T" + abrazadera, tornillería</t>
    </r>
  </si>
  <si>
    <r>
      <rPr>
        <sz val="10"/>
        <rFont val="Calibri"/>
        <family val="2"/>
        <scheme val="minor"/>
      </rPr>
      <t xml:space="preserve">Soporte tubular con inclinación/orientación ajustable para </t>
    </r>
    <r>
      <rPr>
        <sz val="11"/>
        <rFont val="Calibri"/>
        <family val="2"/>
        <scheme val="minor"/>
      </rPr>
      <t>4</t>
    </r>
    <r>
      <rPr>
        <sz val="10"/>
        <rFont val="Calibri"/>
        <family val="2"/>
        <scheme val="minor"/>
      </rPr>
      <t xml:space="preserve"> módulo (50W a 130 W). Incluye: Tubo acero  de 3 m altura (ced.30, 60 mm. diam), cabezal , travesaño "T" + abrazadera, tornillería</t>
    </r>
  </si>
  <si>
    <r>
      <rPr>
        <sz val="10"/>
        <rFont val="Calibri"/>
        <family val="2"/>
        <scheme val="minor"/>
      </rPr>
      <t>Soporte tubular con inclinación/orientación ajustable para</t>
    </r>
    <r>
      <rPr>
        <sz val="11"/>
        <rFont val="Calibri"/>
        <family val="2"/>
        <scheme val="minor"/>
      </rPr>
      <t xml:space="preserve"> 5</t>
    </r>
    <r>
      <rPr>
        <sz val="10"/>
        <rFont val="Calibri"/>
        <family val="2"/>
        <scheme val="minor"/>
      </rPr>
      <t xml:space="preserve"> modulos  (50W a 130 W). Incluye: Tubo acero  de 3m altura (ced.30, 60 mm. diam), cabezal , travesaño "T" + abrazadera, tornillería</t>
    </r>
  </si>
  <si>
    <r>
      <rPr>
        <sz val="10"/>
        <rFont val="Calibri"/>
        <family val="2"/>
        <scheme val="minor"/>
      </rPr>
      <t>Soporte tubular con inclinación/orientación ajustable para</t>
    </r>
    <r>
      <rPr>
        <sz val="11"/>
        <rFont val="Calibri"/>
        <family val="2"/>
        <scheme val="minor"/>
      </rPr>
      <t xml:space="preserve"> 6</t>
    </r>
    <r>
      <rPr>
        <sz val="10"/>
        <rFont val="Calibri"/>
        <family val="2"/>
        <scheme val="minor"/>
      </rPr>
      <t xml:space="preserve"> módulo (50W a 130 W). Incluye: Tubo acero  de 3 m altura (ced.30, 0 mm. diam), cabezal , travesaño "T" + abrazadera, tornillería</t>
    </r>
  </si>
  <si>
    <r>
      <rPr>
        <sz val="10"/>
        <rFont val="Calibri"/>
        <family val="2"/>
        <scheme val="minor"/>
      </rPr>
      <t>Soporte tubular con inclinación/orientación ajustable para</t>
    </r>
    <r>
      <rPr>
        <sz val="11"/>
        <rFont val="Calibri"/>
        <family val="2"/>
        <scheme val="minor"/>
      </rPr>
      <t xml:space="preserve"> 7</t>
    </r>
    <r>
      <rPr>
        <sz val="10"/>
        <rFont val="Calibri"/>
        <family val="2"/>
        <scheme val="minor"/>
      </rPr>
      <t xml:space="preserve">  módulo (50W a 130 W). Incluye: Tubo acero  de 3 m altura (ced.30, 0 mm. diam), cabezal , travesaño "T" + abrazadera, tornillería</t>
    </r>
  </si>
  <si>
    <r>
      <rPr>
        <sz val="10"/>
        <rFont val="Calibri"/>
        <family val="2"/>
        <scheme val="minor"/>
      </rPr>
      <t>Sistema Solar de Refrigeración rural que incluye: Refrigerador de 50 litros de alta eficiencia, arreglo solar de 100 W, una batería de 115 Ah libre de mantenimiento, controlador de carga y todo lo necesario para una instalación profesional.</t>
    </r>
  </si>
  <si>
    <r>
      <rPr>
        <sz val="10"/>
        <rFont val="Calibri"/>
        <family val="2"/>
        <scheme val="minor"/>
      </rPr>
      <t>Sistema Solar de Refrigeración uso doméstico que incluye: Refrigerador de 165 litros de alta eficiencia, panel solar de 150 Wp, 2 baterías de 12 volts, 115 Ah libre de mantenimiento, controlador de carga de 20 A todo lo necesario para una instalación profesional</t>
    </r>
  </si>
  <si>
    <r>
      <rPr>
        <sz val="10"/>
        <rFont val="Calibri"/>
        <family val="2"/>
        <scheme val="minor"/>
      </rPr>
      <t>Sistema Solar de Refrigeración uso comercial (congelador) que incluye: Refrigerador de 225 litros de alta eficiencia, 300 Wp de paneles solares, 3 baterías de 115 Ah libre de mantenimiento, controlador de carga a 12 V, 20 Amp y todo lo necesario para una instalación profesional</t>
    </r>
  </si>
  <si>
    <r>
      <t xml:space="preserve">Servicio Tecnico Calificado-3 Traslado al sitio Inspeccion Visual Y tecnico para diagnosticar fallas y posibles soluciones para restaurar planta solar </t>
    </r>
    <r>
      <rPr>
        <i/>
        <sz val="11"/>
        <color theme="7" tint="-0.499984740745262"/>
        <rFont val="Arial"/>
        <family val="2"/>
      </rPr>
      <t xml:space="preserve"> </t>
    </r>
  </si>
  <si>
    <t>W MAN</t>
  </si>
  <si>
    <t>W MAN-250</t>
  </si>
  <si>
    <r>
      <t>Módulo multicristalino 250W. Garantía de potencia lineal de 85% a 12 años.</t>
    </r>
    <r>
      <rPr>
        <i/>
        <sz val="11"/>
        <color theme="7" tint="-0.499984740745262"/>
        <rFont val="Arial"/>
        <family val="2"/>
      </rPr>
      <t>Nacionales</t>
    </r>
  </si>
  <si>
    <t>AXI-330</t>
  </si>
  <si>
    <t xml:space="preserve">ACTUALIZADO 1 JULIO </t>
  </si>
  <si>
    <t>CALE-115</t>
  </si>
  <si>
    <t xml:space="preserve">Lamp-LD 9W-12VDC </t>
  </si>
  <si>
    <t xml:space="preserve">Lámpara de leds a 12  O 127 VDC O AC   9w  </t>
  </si>
  <si>
    <t xml:space="preserve">Instalacion Electrica de Vivienda  Incluye: Canalizacion con Conduit de PVC  Pared dGrueza 1/2 / 3/4  pared Delgada Cableado para iluminacion a corriente directa, Cableado para Contactos a corriente Alterna,Chalupas Registos, Conecciones, Contactos, apagadores y Accesorios  </t>
  </si>
  <si>
    <t xml:space="preserve">Inst. Electrica Enmanguerado Existente </t>
  </si>
  <si>
    <t xml:space="preserve">Instalacion Electrica para Vivienda  En viviendas con Ranurados, enmanguerado,  chalupas Y registros existentes,       INCLUYE. Cableado para iluminacion a corriente directa, Cableado para Contactos a corriente Alterna,  Contactos, Apagadores, Accesorios  y mano de obra  </t>
  </si>
  <si>
    <t xml:space="preserve">Adecuacion de Inst. Existente </t>
  </si>
  <si>
    <t xml:space="preserve">Adecuacion de instalacion electrica parcialmente  en mal estado </t>
  </si>
  <si>
    <t>Mat-Electr - PARA PLANTA</t>
  </si>
  <si>
    <t xml:space="preserve">Material electrico para instalacion de planta solar INCLUYE: Cableado   necesario  para conexión de modulos y planta, Accesorios, Cableado diferentes calibres, (Protecciones especiales.  </t>
  </si>
  <si>
    <t xml:space="preserve">SR DAVID BLANCO </t>
  </si>
  <si>
    <t xml:space="preserve">PERIBAN </t>
  </si>
  <si>
    <t xml:space="preserve">354 101 74 05 </t>
  </si>
  <si>
    <t xml:space="preserve">Planta solar autonoma para uso basico   </t>
  </si>
  <si>
    <t>L-4DM-390</t>
  </si>
  <si>
    <t xml:space="preserve">Batería  Para Uso Fotovoltaico L-4DM-390 Ah @ 100 hr, libre de mantenimiento. Vida útil: 3 a 4 años. </t>
  </si>
  <si>
    <t>Controlador Solar MPPT 40A 12/24V, Máximo Voltaje de Circuito Abierto Voc 150Vcd 26131803</t>
  </si>
  <si>
    <t>MPPT-40</t>
  </si>
  <si>
    <t>LAMP-10W-12V</t>
  </si>
  <si>
    <t xml:space="preserve">Lampara de Leds para uso unterior  Mod: 10-12VDC con gabinete metalico para colocarse en los angulos nesesarios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</si>
</sst>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7" formatCode="&quot;$&quot;#,##0.00;\-&quot;$&quot;#,##0.00"/>
    <numFmt numFmtId="8" formatCode="&quot;$&quot;#,##0.00;[Red]\-&quot;$&quot;#,##0.00"/>
    <numFmt numFmtId="44" formatCode="_-&quot;$&quot;* #,##0.00_-;\-&quot;$&quot;* #,##0.00_-;_-&quot;$&quot;* &quot;-&quot;??_-;_-@_-"/>
    <numFmt numFmtId="43" formatCode="_-* #,##0.00_-;\-* #,##0.00_-;_-* &quot;-&quot;??_-;_-@_-"/>
    <numFmt numFmtId="164" formatCode="&quot;$&quot;#,##0.00"/>
    <numFmt numFmtId="165" formatCode="#,##0.00_ ;\-#,##0.00\ "/>
    <numFmt numFmtId="166" formatCode="0_ ;\-0\ "/>
    <numFmt numFmtId="167" formatCode="#,##0_ ;\-#,##0\ "/>
    <numFmt numFmtId="168" formatCode="_-[$€-2]* #,##0.00_-;\-[$€-2]* #,##0.00_-;_-[$€-2]* &quot;-&quot;??_-"/>
    <numFmt numFmtId="169" formatCode="0.0"/>
    <numFmt numFmtId="170" formatCode="#,##0.0"/>
    <numFmt numFmtId="171" formatCode="&quot;$&quot;#,##0"/>
  </numFmts>
  <fonts count="103">
    <font>
      <sz val="11"/>
      <color theme="1"/>
      <name val="Calibri"/>
      <family val="2"/>
      <scheme val="minor"/>
    </font>
    <font>
      <sz val="11"/>
      <color theme="1"/>
      <name val="Arial"/>
      <family val="2"/>
    </font>
    <font>
      <b/>
      <sz val="12"/>
      <color theme="1"/>
      <name val="Calibri"/>
      <family val="2"/>
      <scheme val="minor"/>
    </font>
    <font>
      <sz val="10"/>
      <color theme="1"/>
      <name val="Calibri"/>
      <family val="2"/>
      <scheme val="minor"/>
    </font>
    <font>
      <sz val="11"/>
      <color indexed="8"/>
      <name val="Calibri"/>
      <family val="2"/>
    </font>
    <font>
      <sz val="10"/>
      <color rgb="FF002060"/>
      <name val="Calibri"/>
      <family val="2"/>
      <scheme val="minor"/>
    </font>
    <font>
      <sz val="10"/>
      <name val="Calibri"/>
      <family val="2"/>
      <scheme val="minor"/>
    </font>
    <font>
      <sz val="11"/>
      <color rgb="FF002060"/>
      <name val="Calibri"/>
      <family val="2"/>
      <scheme val="minor"/>
    </font>
    <font>
      <b/>
      <sz val="11"/>
      <name val="Calibri"/>
      <family val="2"/>
      <scheme val="minor"/>
    </font>
    <font>
      <sz val="11"/>
      <name val="Calibri"/>
      <family val="2"/>
      <scheme val="minor"/>
    </font>
    <font>
      <b/>
      <i/>
      <sz val="14"/>
      <color theme="1"/>
      <name val="Calibri"/>
      <family val="2"/>
      <scheme val="minor"/>
    </font>
    <font>
      <sz val="11"/>
      <color theme="1"/>
      <name val="Calibri"/>
      <family val="2"/>
      <scheme val="minor"/>
    </font>
    <font>
      <b/>
      <sz val="11"/>
      <color theme="1"/>
      <name val="Calibri"/>
      <family val="2"/>
      <scheme val="minor"/>
    </font>
    <font>
      <b/>
      <sz val="12"/>
      <color theme="0"/>
      <name val="Calibri"/>
      <family val="2"/>
      <scheme val="minor"/>
    </font>
    <font>
      <sz val="10"/>
      <name val="Arial"/>
      <family val="2"/>
    </font>
    <font>
      <b/>
      <sz val="11"/>
      <color indexed="63"/>
      <name val="Calibri"/>
      <family val="2"/>
      <scheme val="minor"/>
    </font>
    <font>
      <u/>
      <sz val="11"/>
      <color theme="10"/>
      <name val="Calibri"/>
      <family val="2"/>
      <scheme val="minor"/>
    </font>
    <font>
      <u/>
      <sz val="12"/>
      <color theme="10"/>
      <name val="Calibri"/>
      <family val="2"/>
      <scheme val="minor"/>
    </font>
    <font>
      <b/>
      <sz val="12"/>
      <color indexed="63"/>
      <name val="Calibri"/>
      <family val="2"/>
      <scheme val="minor"/>
    </font>
    <font>
      <sz val="12"/>
      <color theme="1"/>
      <name val="Calibri"/>
      <family val="2"/>
      <scheme val="minor"/>
    </font>
    <font>
      <b/>
      <sz val="12"/>
      <name val="Calibri"/>
      <family val="2"/>
      <scheme val="minor"/>
    </font>
    <font>
      <b/>
      <sz val="14"/>
      <color rgb="FFC00000"/>
      <name val="Calibri"/>
      <family val="2"/>
      <scheme val="minor"/>
    </font>
    <font>
      <b/>
      <sz val="12"/>
      <color rgb="FFC00000"/>
      <name val="Calibri"/>
      <family val="2"/>
      <scheme val="minor"/>
    </font>
    <font>
      <b/>
      <sz val="14"/>
      <color theme="1"/>
      <name val="Calibri"/>
      <family val="2"/>
      <scheme val="minor"/>
    </font>
    <font>
      <b/>
      <sz val="12"/>
      <color rgb="FF002060"/>
      <name val="Calibri"/>
      <family val="2"/>
      <scheme val="minor"/>
    </font>
    <font>
      <b/>
      <sz val="11"/>
      <color rgb="FF002060"/>
      <name val="Calibri"/>
      <family val="2"/>
      <scheme val="minor"/>
    </font>
    <font>
      <b/>
      <sz val="12"/>
      <color theme="3" tint="-0.249977111117893"/>
      <name val="Calibri"/>
      <family val="2"/>
      <scheme val="minor"/>
    </font>
    <font>
      <b/>
      <sz val="11"/>
      <color theme="3" tint="-0.249977111117893"/>
      <name val="Calibri"/>
      <family val="2"/>
      <scheme val="minor"/>
    </font>
    <font>
      <sz val="12"/>
      <color theme="3" tint="-0.249977111117893"/>
      <name val="Calibri"/>
      <family val="2"/>
      <scheme val="minor"/>
    </font>
    <font>
      <b/>
      <i/>
      <sz val="12"/>
      <name val="Calibri"/>
      <family val="2"/>
      <scheme val="minor"/>
    </font>
    <font>
      <sz val="11"/>
      <color rgb="FFFF0000"/>
      <name val="Calibri"/>
      <family val="2"/>
      <scheme val="minor"/>
    </font>
    <font>
      <sz val="11"/>
      <color rgb="FF000000"/>
      <name val="Calibri"/>
      <family val="2"/>
    </font>
    <font>
      <b/>
      <sz val="11"/>
      <color rgb="FFFF0000"/>
      <name val="Calibri"/>
      <family val="2"/>
      <scheme val="minor"/>
    </font>
    <font>
      <b/>
      <sz val="12"/>
      <color rgb="FFFF0000"/>
      <name val="Arial"/>
      <family val="2"/>
    </font>
    <font>
      <sz val="8"/>
      <color rgb="FFFF0000"/>
      <name val="Arial"/>
      <family val="2"/>
    </font>
    <font>
      <b/>
      <sz val="10"/>
      <color rgb="FF002060"/>
      <name val="Calibri"/>
      <family val="2"/>
      <scheme val="minor"/>
    </font>
    <font>
      <b/>
      <sz val="9"/>
      <color theme="1"/>
      <name val="Arial"/>
      <family val="2"/>
    </font>
    <font>
      <sz val="8"/>
      <name val="Arial"/>
      <family val="2"/>
    </font>
    <font>
      <b/>
      <sz val="14"/>
      <name val="Calibri"/>
      <family val="2"/>
      <scheme val="minor"/>
    </font>
    <font>
      <b/>
      <sz val="16"/>
      <color theme="1"/>
      <name val="Calibri"/>
      <family val="2"/>
      <scheme val="minor"/>
    </font>
    <font>
      <b/>
      <sz val="16"/>
      <name val="Calibri"/>
      <family val="2"/>
      <scheme val="minor"/>
    </font>
    <font>
      <b/>
      <sz val="18"/>
      <color theme="1"/>
      <name val="Calibri"/>
      <family val="2"/>
      <scheme val="minor"/>
    </font>
    <font>
      <i/>
      <sz val="12"/>
      <color rgb="FF002060"/>
      <name val="Calibri"/>
      <family val="2"/>
      <scheme val="minor"/>
    </font>
    <font>
      <b/>
      <i/>
      <sz val="12"/>
      <color rgb="FF002060"/>
      <name val="Calibri"/>
      <family val="2"/>
      <scheme val="minor"/>
    </font>
    <font>
      <b/>
      <sz val="22"/>
      <color rgb="FFFF0000"/>
      <name val="Calibri"/>
      <family val="2"/>
      <scheme val="minor"/>
    </font>
    <font>
      <sz val="12"/>
      <name val="Calibri"/>
      <family val="2"/>
      <scheme val="minor"/>
    </font>
    <font>
      <sz val="12"/>
      <color rgb="FF002060"/>
      <name val="Calibri"/>
      <family val="2"/>
      <scheme val="minor"/>
    </font>
    <font>
      <b/>
      <sz val="18"/>
      <color rgb="FF002060"/>
      <name val="Calibri"/>
      <family val="2"/>
      <scheme val="minor"/>
    </font>
    <font>
      <b/>
      <sz val="16"/>
      <color rgb="FF002060"/>
      <name val="Calibri"/>
      <family val="2"/>
      <scheme val="minor"/>
    </font>
    <font>
      <b/>
      <sz val="14"/>
      <color rgb="FF002060"/>
      <name val="Calibri"/>
      <family val="2"/>
      <scheme val="minor"/>
    </font>
    <font>
      <b/>
      <i/>
      <sz val="12"/>
      <color theme="1"/>
      <name val="Calibri"/>
      <family val="2"/>
      <scheme val="minor"/>
    </font>
    <font>
      <b/>
      <sz val="36"/>
      <color theme="1"/>
      <name val="Calibri"/>
      <family val="2"/>
      <scheme val="minor"/>
    </font>
    <font>
      <b/>
      <sz val="72"/>
      <color theme="1"/>
      <name val="Calibri"/>
      <family val="2"/>
      <scheme val="minor"/>
    </font>
    <font>
      <b/>
      <i/>
      <sz val="12"/>
      <color theme="1"/>
      <name val="Arial"/>
      <family val="2"/>
    </font>
    <font>
      <b/>
      <sz val="18"/>
      <color theme="0"/>
      <name val="Calibri"/>
      <family val="2"/>
      <scheme val="minor"/>
    </font>
    <font>
      <sz val="11"/>
      <color theme="0"/>
      <name val="Calibri"/>
      <family val="2"/>
      <scheme val="minor"/>
    </font>
    <font>
      <i/>
      <sz val="12"/>
      <color theme="1"/>
      <name val="Calibri"/>
      <family val="2"/>
      <scheme val="minor"/>
    </font>
    <font>
      <sz val="14"/>
      <color rgb="FF002060"/>
      <name val="Calibri"/>
      <family val="2"/>
      <scheme val="minor"/>
    </font>
    <font>
      <b/>
      <sz val="72"/>
      <color theme="0"/>
      <name val="Calibri"/>
      <family val="2"/>
      <scheme val="minor"/>
    </font>
    <font>
      <b/>
      <sz val="14"/>
      <name val="Algerian"/>
      <family val="5"/>
    </font>
    <font>
      <b/>
      <sz val="10"/>
      <color theme="1"/>
      <name val="Calibri"/>
      <family val="2"/>
      <scheme val="minor"/>
    </font>
    <font>
      <b/>
      <sz val="9"/>
      <color rgb="FFC00000"/>
      <name val="Calibri"/>
      <family val="2"/>
      <scheme val="minor"/>
    </font>
    <font>
      <b/>
      <sz val="12"/>
      <color rgb="FFFF0000"/>
      <name val="Calibri"/>
      <family val="2"/>
      <scheme val="minor"/>
    </font>
    <font>
      <b/>
      <sz val="9"/>
      <color rgb="FFFF0000"/>
      <name val="Calibri"/>
      <family val="2"/>
      <scheme val="minor"/>
    </font>
    <font>
      <b/>
      <sz val="9"/>
      <name val="Calibri"/>
      <family val="2"/>
      <scheme val="minor"/>
    </font>
    <font>
      <b/>
      <sz val="22"/>
      <name val="Georgia"/>
      <family val="1"/>
    </font>
    <font>
      <b/>
      <i/>
      <sz val="11"/>
      <color theme="1"/>
      <name val="Calibri"/>
      <family val="2"/>
      <scheme val="minor"/>
    </font>
    <font>
      <i/>
      <sz val="9"/>
      <name val="Calibri"/>
      <family val="2"/>
      <scheme val="minor"/>
    </font>
    <font>
      <i/>
      <sz val="11"/>
      <name val="Calibri"/>
      <family val="2"/>
      <scheme val="minor"/>
    </font>
    <font>
      <b/>
      <sz val="16"/>
      <name val="Algerian"/>
      <family val="5"/>
    </font>
    <font>
      <b/>
      <sz val="16"/>
      <color theme="7" tint="-0.249977111117893"/>
      <name val="Algerian"/>
      <family val="5"/>
    </font>
    <font>
      <sz val="16"/>
      <color theme="8" tint="-0.249977111117893"/>
      <name val="Algerian"/>
      <family val="5"/>
    </font>
    <font>
      <i/>
      <sz val="16"/>
      <color rgb="FFC00000"/>
      <name val="Algerian"/>
      <family val="5"/>
    </font>
    <font>
      <i/>
      <sz val="14"/>
      <color rgb="FFC00000"/>
      <name val="Algerian"/>
      <family val="5"/>
    </font>
    <font>
      <b/>
      <sz val="18"/>
      <color theme="6" tint="0.79998168889431442"/>
      <name val="Calibri"/>
      <family val="2"/>
      <scheme val="minor"/>
    </font>
    <font>
      <b/>
      <i/>
      <sz val="12"/>
      <color theme="6" tint="0.79998168889431442"/>
      <name val="Calibri"/>
      <family val="2"/>
      <scheme val="minor"/>
    </font>
    <font>
      <sz val="16"/>
      <color rgb="FF002060"/>
      <name val="Calibri"/>
      <family val="2"/>
      <scheme val="minor"/>
    </font>
    <font>
      <b/>
      <i/>
      <sz val="12"/>
      <color rgb="FF000080"/>
      <name val="Calibri"/>
      <family val="2"/>
    </font>
    <font>
      <b/>
      <sz val="28"/>
      <color theme="1"/>
      <name val="Calibri"/>
      <family val="2"/>
      <scheme val="minor"/>
    </font>
    <font>
      <b/>
      <sz val="20"/>
      <color theme="0"/>
      <name val="Calibri"/>
      <family val="2"/>
      <scheme val="minor"/>
    </font>
    <font>
      <sz val="18"/>
      <color theme="0"/>
      <name val="Calibri"/>
      <family val="2"/>
      <scheme val="minor"/>
    </font>
    <font>
      <b/>
      <sz val="9"/>
      <color rgb="FF002060"/>
      <name val="Calibri"/>
      <family val="2"/>
      <scheme val="minor"/>
    </font>
    <font>
      <b/>
      <sz val="16"/>
      <color rgb="FFFF0000"/>
      <name val="Algerian"/>
      <family val="5"/>
    </font>
    <font>
      <b/>
      <sz val="14"/>
      <color rgb="FFFF0000"/>
      <name val="Algerian"/>
      <family val="5"/>
    </font>
    <font>
      <i/>
      <sz val="14"/>
      <name val="Calibri"/>
      <family val="2"/>
      <scheme val="minor"/>
    </font>
    <font>
      <sz val="14"/>
      <name val="Calibri"/>
      <family val="2"/>
      <scheme val="minor"/>
    </font>
    <font>
      <sz val="14"/>
      <color theme="1"/>
      <name val="Calibri"/>
      <family val="2"/>
      <scheme val="minor"/>
    </font>
    <font>
      <b/>
      <i/>
      <sz val="16"/>
      <color theme="1"/>
      <name val="Calibri"/>
      <family val="2"/>
      <scheme val="minor"/>
    </font>
    <font>
      <b/>
      <sz val="16"/>
      <color rgb="FFFFFF00"/>
      <name val="Algerian"/>
      <family val="5"/>
    </font>
    <font>
      <b/>
      <i/>
      <sz val="14"/>
      <color rgb="FF002060"/>
      <name val="Calibri"/>
      <family val="2"/>
      <scheme val="minor"/>
    </font>
    <font>
      <b/>
      <i/>
      <sz val="9"/>
      <color rgb="FF002060"/>
      <name val="Calibri"/>
      <family val="2"/>
      <scheme val="minor"/>
    </font>
    <font>
      <b/>
      <i/>
      <sz val="9"/>
      <color theme="1"/>
      <name val="Calibri"/>
      <family val="2"/>
      <scheme val="minor"/>
    </font>
    <font>
      <i/>
      <sz val="11"/>
      <color theme="7" tint="-0.499984740745262"/>
      <name val="Arial"/>
      <family val="2"/>
    </font>
    <font>
      <i/>
      <sz val="12"/>
      <color theme="7" tint="-0.499984740745262"/>
      <name val="Arial"/>
      <family val="2"/>
    </font>
    <font>
      <b/>
      <i/>
      <sz val="48"/>
      <color rgb="FFFF0000"/>
      <name val="Calibri"/>
      <family val="2"/>
    </font>
    <font>
      <sz val="9"/>
      <name val="Calibri"/>
      <family val="2"/>
      <scheme val="minor"/>
    </font>
    <font>
      <i/>
      <sz val="14"/>
      <color rgb="FF002060"/>
      <name val="Calibri"/>
      <family val="2"/>
      <scheme val="minor"/>
    </font>
    <font>
      <i/>
      <sz val="14"/>
      <color theme="1"/>
      <name val="Calibri"/>
      <family val="2"/>
      <scheme val="minor"/>
    </font>
    <font>
      <i/>
      <sz val="14"/>
      <color theme="1"/>
      <name val="Arial"/>
      <family val="2"/>
    </font>
    <font>
      <i/>
      <sz val="14"/>
      <color theme="6" tint="0.79998168889431442"/>
      <name val="Calibri"/>
      <family val="2"/>
      <scheme val="minor"/>
    </font>
    <font>
      <sz val="9"/>
      <color theme="1"/>
      <name val="Calibri"/>
      <family val="2"/>
      <scheme val="minor"/>
    </font>
    <font>
      <u/>
      <sz val="9"/>
      <color theme="10"/>
      <name val="Calibri"/>
      <family val="2"/>
      <scheme val="minor"/>
    </font>
    <font>
      <i/>
      <sz val="9"/>
      <name val="Georgia"/>
      <family val="1"/>
    </font>
  </fonts>
  <fills count="38">
    <fill>
      <patternFill patternType="none"/>
    </fill>
    <fill>
      <patternFill patternType="gray125"/>
    </fill>
    <fill>
      <patternFill patternType="solid">
        <fgColor rgb="FF92D050"/>
        <bgColor indexed="64"/>
      </patternFill>
    </fill>
    <fill>
      <patternFill patternType="solid">
        <fgColor theme="0"/>
        <bgColor indexed="64"/>
      </patternFill>
    </fill>
    <fill>
      <patternFill patternType="solid">
        <fgColor rgb="FFFFFF00"/>
        <bgColor indexed="64"/>
      </patternFill>
    </fill>
    <fill>
      <patternFill patternType="solid">
        <fgColor theme="0"/>
        <bgColor auto="1"/>
      </patternFill>
    </fill>
    <fill>
      <gradientFill degree="90">
        <stop position="0">
          <color theme="3" tint="0.80001220740379042"/>
        </stop>
        <stop position="1">
          <color theme="0"/>
        </stop>
      </gradientFill>
    </fill>
    <fill>
      <patternFill patternType="solid">
        <fgColor theme="6" tint="-0.499984740745262"/>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rgb="FFFFFFCC"/>
        <bgColor indexed="64"/>
      </patternFill>
    </fill>
    <fill>
      <patternFill patternType="solid">
        <fgColor theme="8" tint="0.59999389629810485"/>
        <bgColor indexed="65"/>
      </patternFill>
    </fill>
    <fill>
      <patternFill patternType="solid">
        <fgColor rgb="FF00B0F0"/>
        <bgColor indexed="64"/>
      </patternFill>
    </fill>
    <fill>
      <patternFill patternType="solid">
        <fgColor theme="2" tint="-9.9978637043366805E-2"/>
        <bgColor indexed="64"/>
      </patternFill>
    </fill>
    <fill>
      <patternFill patternType="solid">
        <fgColor theme="1"/>
        <bgColor indexed="64"/>
      </patternFill>
    </fill>
    <fill>
      <patternFill patternType="solid">
        <fgColor rgb="FFFF0000"/>
        <bgColor indexed="64"/>
      </patternFill>
    </fill>
    <fill>
      <patternFill patternType="solid">
        <fgColor rgb="FF00CC00"/>
        <bgColor indexed="64"/>
      </patternFill>
    </fill>
    <fill>
      <patternFill patternType="solid">
        <fgColor theme="3" tint="0.59999389629810485"/>
        <bgColor indexed="64"/>
      </patternFill>
    </fill>
    <fill>
      <patternFill patternType="solid">
        <fgColor theme="5" tint="0.39997558519241921"/>
        <bgColor indexed="64"/>
      </patternFill>
    </fill>
    <fill>
      <patternFill patternType="solid">
        <fgColor theme="2" tint="-0.499984740745262"/>
        <bgColor indexed="64"/>
      </patternFill>
    </fill>
    <fill>
      <patternFill patternType="solid">
        <fgColor theme="8" tint="0.59999389629810485"/>
        <bgColor indexed="64"/>
      </patternFill>
    </fill>
    <fill>
      <patternFill patternType="solid">
        <fgColor theme="3" tint="-0.249977111117893"/>
        <bgColor indexed="64"/>
      </patternFill>
    </fill>
    <fill>
      <patternFill patternType="solid">
        <fgColor theme="3" tint="-0.249977111117893"/>
        <bgColor auto="1"/>
      </patternFill>
    </fill>
    <fill>
      <patternFill patternType="solid">
        <fgColor theme="8" tint="-0.249977111117893"/>
        <bgColor indexed="64"/>
      </patternFill>
    </fill>
    <fill>
      <patternFill patternType="solid">
        <fgColor theme="0" tint="-0.249977111117893"/>
        <bgColor indexed="64"/>
      </patternFill>
    </fill>
    <fill>
      <patternFill patternType="solid">
        <fgColor theme="2" tint="-0.249977111117893"/>
        <bgColor indexed="64"/>
      </patternFill>
    </fill>
    <fill>
      <patternFill patternType="solid">
        <fgColor rgb="FFFFC000"/>
        <bgColor indexed="64"/>
      </patternFill>
    </fill>
    <fill>
      <patternFill patternType="solid">
        <fgColor theme="7" tint="0.59999389629810485"/>
        <bgColor indexed="64"/>
      </patternFill>
    </fill>
    <fill>
      <patternFill patternType="solid">
        <fgColor theme="7" tint="0.59999389629810485"/>
        <bgColor auto="1"/>
      </patternFill>
    </fill>
    <fill>
      <patternFill patternType="solid">
        <fgColor theme="5" tint="0.59999389629810485"/>
        <bgColor indexed="64"/>
      </patternFill>
    </fill>
    <fill>
      <patternFill patternType="solid">
        <fgColor theme="2" tint="-9.9978637043366805E-2"/>
        <bgColor auto="1"/>
      </patternFill>
    </fill>
    <fill>
      <patternFill patternType="solid">
        <fgColor theme="9" tint="0.59999389629810485"/>
        <bgColor indexed="64"/>
      </patternFill>
    </fill>
    <fill>
      <patternFill patternType="solid">
        <fgColor theme="8" tint="0.39997558519241921"/>
        <bgColor indexed="64"/>
      </patternFill>
    </fill>
    <fill>
      <patternFill patternType="solid">
        <fgColor rgb="FF00B050"/>
        <bgColor indexed="64"/>
      </patternFill>
    </fill>
    <fill>
      <patternFill patternType="solid">
        <fgColor theme="2"/>
        <bgColor indexed="64"/>
      </patternFill>
    </fill>
    <fill>
      <patternFill patternType="solid">
        <fgColor theme="2" tint="-0.249977111117893"/>
        <bgColor auto="1"/>
      </patternFill>
    </fill>
    <fill>
      <patternFill patternType="solid">
        <fgColor theme="2" tint="-0.499984740745262"/>
        <bgColor auto="1"/>
      </patternFill>
    </fill>
    <fill>
      <patternFill patternType="solid">
        <fgColor rgb="FF00FF00"/>
        <bgColor auto="1"/>
      </patternFill>
    </fill>
  </fills>
  <borders count="3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style="thin">
        <color indexed="64"/>
      </top>
      <bottom/>
      <diagonal/>
    </border>
  </borders>
  <cellStyleXfs count="135">
    <xf numFmtId="0" fontId="0" fillId="0" borderId="0"/>
    <xf numFmtId="43" fontId="4" fillId="0" borderId="0" applyFont="0" applyFill="0" applyBorder="0" applyAlignment="0" applyProtection="0"/>
    <xf numFmtId="0" fontId="14" fillId="0" borderId="0"/>
    <xf numFmtId="0" fontId="16" fillId="0" borderId="0" applyNumberFormat="0" applyFill="0" applyBorder="0" applyAlignment="0" applyProtection="0"/>
    <xf numFmtId="168" fontId="14" fillId="0" borderId="0" applyFont="0" applyFill="0" applyBorder="0" applyAlignment="0" applyProtection="0"/>
    <xf numFmtId="43" fontId="14" fillId="0" borderId="0" applyFont="0" applyFill="0" applyBorder="0" applyAlignment="0" applyProtection="0"/>
    <xf numFmtId="43" fontId="14" fillId="0" borderId="0" applyFont="0" applyFill="0" applyBorder="0" applyAlignment="0" applyProtection="0"/>
    <xf numFmtId="44" fontId="14" fillId="0" borderId="0" applyFont="0" applyFill="0" applyBorder="0" applyAlignment="0" applyProtection="0"/>
    <xf numFmtId="44" fontId="14" fillId="0" borderId="0" applyFont="0" applyFill="0" applyBorder="0" applyAlignment="0" applyProtection="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1"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0" fontId="14" fillId="0" borderId="0"/>
    <xf numFmtId="9" fontId="14" fillId="0" borderId="0" applyFont="0" applyFill="0" applyBorder="0" applyAlignment="0" applyProtection="0"/>
    <xf numFmtId="0" fontId="4" fillId="0" borderId="0"/>
    <xf numFmtId="0" fontId="11" fillId="0" borderId="0"/>
    <xf numFmtId="0" fontId="11" fillId="11" borderId="0" applyNumberFormat="0" applyBorder="0" applyAlignment="0" applyProtection="0"/>
    <xf numFmtId="0" fontId="11" fillId="11" borderId="0" applyNumberFormat="0" applyBorder="0" applyAlignment="0" applyProtection="0"/>
    <xf numFmtId="43" fontId="11" fillId="0" borderId="0" applyFont="0" applyFill="0" applyBorder="0" applyAlignment="0" applyProtection="0"/>
    <xf numFmtId="44" fontId="11" fillId="0" borderId="0" applyFont="0" applyFill="0" applyBorder="0" applyAlignment="0" applyProtection="0"/>
    <xf numFmtId="0" fontId="31" fillId="0" borderId="0"/>
    <xf numFmtId="0" fontId="11" fillId="0" borderId="0"/>
    <xf numFmtId="0" fontId="4" fillId="0" borderId="0"/>
    <xf numFmtId="0" fontId="11" fillId="0" borderId="0"/>
    <xf numFmtId="0" fontId="11" fillId="0" borderId="0"/>
    <xf numFmtId="9" fontId="11" fillId="0" borderId="0" applyFont="0" applyFill="0" applyBorder="0" applyAlignment="0" applyProtection="0"/>
    <xf numFmtId="9" fontId="11" fillId="0" borderId="0" applyFont="0" applyFill="0" applyBorder="0" applyAlignment="0" applyProtection="0"/>
    <xf numFmtId="0" fontId="11" fillId="0" borderId="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44" fontId="11"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xf numFmtId="9" fontId="11" fillId="0" borderId="0" applyFont="0" applyFill="0" applyBorder="0" applyAlignment="0" applyProtection="0"/>
  </cellStyleXfs>
  <cellXfs count="490">
    <xf numFmtId="0" fontId="0" fillId="0" borderId="0" xfId="0"/>
    <xf numFmtId="164" fontId="0" fillId="0" borderId="0" xfId="0" applyNumberFormat="1"/>
    <xf numFmtId="0" fontId="0" fillId="0" borderId="1" xfId="0" applyBorder="1"/>
    <xf numFmtId="0" fontId="0" fillId="3" borderId="0" xfId="0" applyFill="1"/>
    <xf numFmtId="164" fontId="0" fillId="3" borderId="1" xfId="0" applyNumberFormat="1" applyFill="1" applyBorder="1"/>
    <xf numFmtId="164" fontId="1" fillId="2" borderId="1" xfId="0" applyNumberFormat="1" applyFont="1" applyFill="1" applyBorder="1" applyAlignment="1">
      <alignment horizontal="center" wrapText="1"/>
    </xf>
    <xf numFmtId="165" fontId="5" fillId="6" borderId="1" xfId="1" applyNumberFormat="1" applyFont="1" applyFill="1" applyBorder="1" applyAlignment="1">
      <alignment horizontal="left" vertical="center" wrapText="1"/>
    </xf>
    <xf numFmtId="0" fontId="0" fillId="3" borderId="1" xfId="0" applyFill="1" applyBorder="1"/>
    <xf numFmtId="166" fontId="6" fillId="6" borderId="1" xfId="1" applyNumberFormat="1" applyFont="1" applyFill="1" applyBorder="1" applyAlignment="1">
      <alignment horizontal="left" vertical="center" wrapText="1"/>
    </xf>
    <xf numFmtId="167" fontId="6" fillId="6" borderId="1" xfId="1" applyNumberFormat="1" applyFont="1" applyFill="1" applyBorder="1" applyAlignment="1" applyProtection="1">
      <alignment horizontal="left" vertical="center" wrapText="1"/>
      <protection locked="0"/>
    </xf>
    <xf numFmtId="7" fontId="5" fillId="6" borderId="1" xfId="1" applyNumberFormat="1" applyFont="1" applyFill="1" applyBorder="1" applyAlignment="1">
      <alignment horizontal="left" vertical="center" wrapText="1"/>
    </xf>
    <xf numFmtId="7" fontId="0" fillId="0" borderId="0" xfId="0" applyNumberFormat="1"/>
    <xf numFmtId="0" fontId="0" fillId="0" borderId="1" xfId="0" applyBorder="1" applyAlignment="1">
      <alignment wrapText="1"/>
    </xf>
    <xf numFmtId="164" fontId="0" fillId="0" borderId="1" xfId="0" applyNumberFormat="1" applyBorder="1"/>
    <xf numFmtId="0" fontId="30" fillId="0" borderId="0" xfId="0" applyFont="1"/>
    <xf numFmtId="166" fontId="6" fillId="6" borderId="2" xfId="1" applyNumberFormat="1" applyFont="1" applyFill="1" applyBorder="1" applyAlignment="1">
      <alignment horizontal="left" vertical="center" wrapText="1"/>
    </xf>
    <xf numFmtId="165" fontId="7" fillId="6" borderId="1" xfId="1" applyNumberFormat="1" applyFont="1" applyFill="1" applyBorder="1" applyAlignment="1">
      <alignment horizontal="left" vertical="center" wrapText="1"/>
    </xf>
    <xf numFmtId="0" fontId="12" fillId="3" borderId="1" xfId="0" applyFont="1" applyFill="1" applyBorder="1" applyAlignment="1">
      <alignment wrapText="1"/>
    </xf>
    <xf numFmtId="164" fontId="0" fillId="10" borderId="1" xfId="0" applyNumberFormat="1" applyFill="1" applyBorder="1"/>
    <xf numFmtId="0" fontId="0" fillId="0" borderId="0" xfId="0"/>
    <xf numFmtId="0" fontId="0" fillId="2" borderId="0" xfId="0" applyFill="1"/>
    <xf numFmtId="0" fontId="0" fillId="0" borderId="0" xfId="0" applyFill="1" applyBorder="1"/>
    <xf numFmtId="0" fontId="0" fillId="2" borderId="1" xfId="0" applyFill="1" applyBorder="1"/>
    <xf numFmtId="0" fontId="0" fillId="0" borderId="1" xfId="0" applyFill="1" applyBorder="1"/>
    <xf numFmtId="0" fontId="0" fillId="0" borderId="0" xfId="0" applyBorder="1"/>
    <xf numFmtId="7" fontId="24" fillId="6" borderId="1" xfId="1" applyNumberFormat="1" applyFont="1" applyFill="1" applyBorder="1" applyAlignment="1">
      <alignment horizontal="left" vertical="center" wrapText="1"/>
    </xf>
    <xf numFmtId="7" fontId="35" fillId="6" borderId="1" xfId="1" applyNumberFormat="1" applyFont="1" applyFill="1" applyBorder="1" applyAlignment="1">
      <alignment horizontal="left" vertical="center" wrapText="1"/>
    </xf>
    <xf numFmtId="1" fontId="36" fillId="3" borderId="1" xfId="0" applyNumberFormat="1" applyFont="1" applyFill="1" applyBorder="1" applyAlignment="1">
      <alignment horizontal="center" wrapText="1"/>
    </xf>
    <xf numFmtId="0" fontId="0" fillId="0" borderId="2" xfId="0" applyBorder="1"/>
    <xf numFmtId="166" fontId="6" fillId="6" borderId="3" xfId="1" applyNumberFormat="1" applyFont="1" applyFill="1" applyBorder="1" applyAlignment="1">
      <alignment horizontal="left" vertical="center" wrapText="1"/>
    </xf>
    <xf numFmtId="0" fontId="34" fillId="4" borderId="1" xfId="0" applyFont="1" applyFill="1" applyBorder="1" applyAlignment="1">
      <alignment wrapText="1"/>
    </xf>
    <xf numFmtId="4" fontId="32" fillId="4" borderId="1" xfId="0" applyNumberFormat="1" applyFont="1" applyFill="1" applyBorder="1"/>
    <xf numFmtId="164" fontId="32" fillId="4" borderId="1" xfId="0" applyNumberFormat="1" applyFont="1" applyFill="1" applyBorder="1"/>
    <xf numFmtId="164" fontId="12" fillId="3" borderId="1" xfId="0" applyNumberFormat="1" applyFont="1" applyFill="1" applyBorder="1"/>
    <xf numFmtId="0" fontId="37" fillId="4" borderId="1" xfId="0" applyFont="1" applyFill="1" applyBorder="1" applyAlignment="1">
      <alignment wrapText="1"/>
    </xf>
    <xf numFmtId="0" fontId="33" fillId="3" borderId="1" xfId="0" applyFont="1" applyFill="1" applyBorder="1" applyAlignment="1">
      <alignment wrapText="1"/>
    </xf>
    <xf numFmtId="0" fontId="0" fillId="2" borderId="1" xfId="0" applyFont="1" applyFill="1" applyBorder="1" applyAlignment="1">
      <alignment horizontal="left"/>
    </xf>
    <xf numFmtId="0" fontId="0" fillId="0" borderId="3" xfId="0" applyBorder="1"/>
    <xf numFmtId="1" fontId="36" fillId="3" borderId="3" xfId="0" applyNumberFormat="1" applyFont="1" applyFill="1" applyBorder="1" applyAlignment="1">
      <alignment horizontal="center" wrapText="1"/>
    </xf>
    <xf numFmtId="0" fontId="0" fillId="0" borderId="3" xfId="0" applyFill="1" applyBorder="1"/>
    <xf numFmtId="164" fontId="0" fillId="0" borderId="3" xfId="0" applyNumberFormat="1" applyBorder="1"/>
    <xf numFmtId="164" fontId="32" fillId="4" borderId="3" xfId="0" applyNumberFormat="1" applyFont="1" applyFill="1" applyBorder="1"/>
    <xf numFmtId="164" fontId="12" fillId="3" borderId="3" xfId="0" applyNumberFormat="1" applyFont="1" applyFill="1" applyBorder="1"/>
    <xf numFmtId="164" fontId="0" fillId="2" borderId="1" xfId="0" applyNumberFormat="1" applyFont="1" applyFill="1" applyBorder="1" applyAlignment="1">
      <alignment horizontal="left"/>
    </xf>
    <xf numFmtId="0" fontId="0" fillId="3" borderId="2" xfId="0" applyFill="1" applyBorder="1"/>
    <xf numFmtId="0" fontId="0" fillId="3" borderId="3" xfId="0" applyFill="1" applyBorder="1"/>
    <xf numFmtId="0" fontId="12" fillId="4" borderId="3" xfId="0" applyFont="1" applyFill="1" applyBorder="1"/>
    <xf numFmtId="1" fontId="36" fillId="4" borderId="3" xfId="0" applyNumberFormat="1" applyFont="1" applyFill="1" applyBorder="1" applyAlignment="1">
      <alignment horizontal="center" wrapText="1"/>
    </xf>
    <xf numFmtId="0" fontId="12" fillId="4" borderId="1" xfId="0" applyFont="1" applyFill="1" applyBorder="1" applyAlignment="1">
      <alignment wrapText="1"/>
    </xf>
    <xf numFmtId="164" fontId="12" fillId="4" borderId="1" xfId="0" applyNumberFormat="1" applyFont="1" applyFill="1" applyBorder="1"/>
    <xf numFmtId="164" fontId="0" fillId="0" borderId="9" xfId="0" applyNumberFormat="1" applyBorder="1"/>
    <xf numFmtId="0" fontId="0" fillId="0" borderId="3" xfId="0" applyBorder="1" applyAlignment="1">
      <alignment wrapText="1"/>
    </xf>
    <xf numFmtId="164" fontId="0" fillId="0" borderId="0" xfId="0" applyNumberFormat="1" applyBorder="1"/>
    <xf numFmtId="166" fontId="6" fillId="6" borderId="0" xfId="1" applyNumberFormat="1" applyFont="1" applyFill="1" applyBorder="1" applyAlignment="1">
      <alignment horizontal="left" vertical="center" wrapText="1"/>
    </xf>
    <xf numFmtId="0" fontId="12" fillId="0" borderId="19" xfId="0" applyFont="1" applyBorder="1" applyAlignment="1">
      <alignment wrapText="1"/>
    </xf>
    <xf numFmtId="0" fontId="12" fillId="0" borderId="19" xfId="0" applyFont="1" applyBorder="1"/>
    <xf numFmtId="164" fontId="12" fillId="0" borderId="20" xfId="0" applyNumberFormat="1" applyFont="1" applyBorder="1"/>
    <xf numFmtId="164" fontId="0" fillId="0" borderId="21" xfId="0" applyNumberFormat="1" applyBorder="1"/>
    <xf numFmtId="0" fontId="0" fillId="0" borderId="2" xfId="0" applyFill="1" applyBorder="1"/>
    <xf numFmtId="0" fontId="12" fillId="0" borderId="28" xfId="0" applyFont="1" applyBorder="1" applyAlignment="1">
      <alignment wrapText="1"/>
    </xf>
    <xf numFmtId="0" fontId="12" fillId="0" borderId="28" xfId="0" applyFont="1" applyBorder="1"/>
    <xf numFmtId="164" fontId="12" fillId="0" borderId="29" xfId="0" applyNumberFormat="1" applyFont="1" applyBorder="1"/>
    <xf numFmtId="0" fontId="12" fillId="0" borderId="27" xfId="0" applyFont="1" applyBorder="1"/>
    <xf numFmtId="0" fontId="12" fillId="0" borderId="18" xfId="0" applyFont="1" applyBorder="1"/>
    <xf numFmtId="167" fontId="5" fillId="13" borderId="1" xfId="1" applyNumberFormat="1" applyFont="1" applyFill="1" applyBorder="1" applyAlignment="1">
      <alignment horizontal="left" vertical="center" wrapText="1"/>
    </xf>
    <xf numFmtId="7" fontId="25" fillId="13" borderId="1" xfId="1" applyNumberFormat="1" applyFont="1" applyFill="1" applyBorder="1" applyAlignment="1" applyProtection="1">
      <alignment horizontal="right" vertical="center" wrapText="1"/>
      <protection locked="0"/>
    </xf>
    <xf numFmtId="43" fontId="7" fillId="5" borderId="0" xfId="1" applyNumberFormat="1" applyFont="1" applyFill="1" applyBorder="1" applyAlignment="1">
      <alignment horizontal="center" vertical="center" wrapText="1"/>
    </xf>
    <xf numFmtId="43" fontId="25" fillId="5" borderId="0" xfId="1" applyNumberFormat="1" applyFont="1" applyFill="1" applyBorder="1" applyAlignment="1">
      <alignment horizontal="right" vertical="center" wrapText="1"/>
    </xf>
    <xf numFmtId="43" fontId="25" fillId="5" borderId="30" xfId="1" applyNumberFormat="1" applyFont="1" applyFill="1" applyBorder="1" applyAlignment="1">
      <alignment horizontal="center" vertical="center" wrapText="1"/>
    </xf>
    <xf numFmtId="9" fontId="25" fillId="5" borderId="1" xfId="1" applyNumberFormat="1" applyFont="1" applyFill="1" applyBorder="1" applyAlignment="1" applyProtection="1">
      <alignment horizontal="right" vertical="center" wrapText="1"/>
      <protection locked="0"/>
    </xf>
    <xf numFmtId="7" fontId="25" fillId="5" borderId="24" xfId="1" applyNumberFormat="1" applyFont="1" applyFill="1" applyBorder="1" applyAlignment="1" applyProtection="1">
      <alignment horizontal="left" vertical="center" wrapText="1"/>
      <protection locked="0"/>
    </xf>
    <xf numFmtId="43" fontId="7" fillId="5" borderId="8" xfId="1" applyNumberFormat="1" applyFont="1" applyFill="1" applyBorder="1" applyAlignment="1">
      <alignment vertical="center" wrapText="1"/>
    </xf>
    <xf numFmtId="43" fontId="7" fillId="5" borderId="9" xfId="1" applyNumberFormat="1" applyFont="1" applyFill="1" applyBorder="1" applyAlignment="1">
      <alignment vertical="center" wrapText="1"/>
    </xf>
    <xf numFmtId="9" fontId="25" fillId="5" borderId="3" xfId="1" applyNumberFormat="1" applyFont="1" applyFill="1" applyBorder="1" applyAlignment="1" applyProtection="1">
      <alignment horizontal="right" vertical="center" wrapText="1"/>
      <protection locked="0"/>
    </xf>
    <xf numFmtId="7" fontId="25" fillId="5" borderId="7" xfId="1" applyNumberFormat="1" applyFont="1" applyFill="1" applyBorder="1" applyAlignment="1" applyProtection="1">
      <alignment horizontal="left" vertical="center" wrapText="1"/>
      <protection locked="0"/>
    </xf>
    <xf numFmtId="0" fontId="0" fillId="9" borderId="3" xfId="0" applyFill="1" applyBorder="1"/>
    <xf numFmtId="1" fontId="36" fillId="9" borderId="3" xfId="0" applyNumberFormat="1" applyFont="1" applyFill="1" applyBorder="1" applyAlignment="1">
      <alignment horizontal="center" wrapText="1"/>
    </xf>
    <xf numFmtId="0" fontId="0" fillId="9" borderId="1" xfId="0" applyFill="1" applyBorder="1" applyAlignment="1">
      <alignment wrapText="1"/>
    </xf>
    <xf numFmtId="0" fontId="30" fillId="9" borderId="3" xfId="0" applyFont="1" applyFill="1" applyBorder="1"/>
    <xf numFmtId="164" fontId="30" fillId="9" borderId="1" xfId="0" applyNumberFormat="1" applyFont="1" applyFill="1" applyBorder="1"/>
    <xf numFmtId="164" fontId="44" fillId="9" borderId="1" xfId="0" applyNumberFormat="1" applyFont="1" applyFill="1" applyBorder="1"/>
    <xf numFmtId="164" fontId="32" fillId="9" borderId="3" xfId="0" applyNumberFormat="1" applyFont="1" applyFill="1" applyBorder="1"/>
    <xf numFmtId="0" fontId="0" fillId="9" borderId="4" xfId="0" applyFill="1" applyBorder="1"/>
    <xf numFmtId="0" fontId="0" fillId="9" borderId="2" xfId="0" applyFill="1" applyBorder="1" applyAlignment="1">
      <alignment wrapText="1"/>
    </xf>
    <xf numFmtId="0" fontId="30" fillId="9" borderId="4" xfId="0" applyFont="1" applyFill="1" applyBorder="1"/>
    <xf numFmtId="164" fontId="30" fillId="9" borderId="2" xfId="0" applyNumberFormat="1" applyFont="1" applyFill="1" applyBorder="1"/>
    <xf numFmtId="0" fontId="12" fillId="9" borderId="27" xfId="0" applyFont="1" applyFill="1" applyBorder="1"/>
    <xf numFmtId="0" fontId="12" fillId="9" borderId="19" xfId="0" applyFont="1" applyFill="1" applyBorder="1" applyAlignment="1">
      <alignment wrapText="1"/>
    </xf>
    <xf numFmtId="0" fontId="12" fillId="9" borderId="19" xfId="0" applyFont="1" applyFill="1" applyBorder="1"/>
    <xf numFmtId="164" fontId="30" fillId="9" borderId="20" xfId="0" applyNumberFormat="1" applyFont="1" applyFill="1" applyBorder="1"/>
    <xf numFmtId="164" fontId="30" fillId="9" borderId="0" xfId="0" applyNumberFormat="1" applyFont="1" applyFill="1" applyBorder="1"/>
    <xf numFmtId="0" fontId="12" fillId="9" borderId="3" xfId="0" applyFont="1" applyFill="1" applyBorder="1"/>
    <xf numFmtId="0" fontId="12" fillId="9" borderId="4" xfId="0" applyFont="1" applyFill="1" applyBorder="1"/>
    <xf numFmtId="0" fontId="12" fillId="3" borderId="3" xfId="0" applyFont="1" applyFill="1" applyBorder="1"/>
    <xf numFmtId="0" fontId="0" fillId="3" borderId="1" xfId="0" applyFill="1" applyBorder="1" applyAlignment="1">
      <alignment wrapText="1"/>
    </xf>
    <xf numFmtId="164" fontId="8" fillId="3" borderId="3" xfId="0" applyNumberFormat="1" applyFont="1" applyFill="1" applyBorder="1"/>
    <xf numFmtId="166" fontId="6" fillId="5" borderId="2" xfId="1" applyNumberFormat="1" applyFont="1" applyFill="1" applyBorder="1" applyAlignment="1">
      <alignment horizontal="left" vertical="center" wrapText="1"/>
    </xf>
    <xf numFmtId="164" fontId="0" fillId="3" borderId="9" xfId="0" applyNumberFormat="1" applyFill="1" applyBorder="1"/>
    <xf numFmtId="164" fontId="32" fillId="3" borderId="3" xfId="0" applyNumberFormat="1" applyFont="1" applyFill="1" applyBorder="1"/>
    <xf numFmtId="0" fontId="12" fillId="3" borderId="27" xfId="0" applyFont="1" applyFill="1" applyBorder="1"/>
    <xf numFmtId="0" fontId="12" fillId="3" borderId="28" xfId="0" applyFont="1" applyFill="1" applyBorder="1" applyAlignment="1">
      <alignment wrapText="1"/>
    </xf>
    <xf numFmtId="0" fontId="12" fillId="3" borderId="28" xfId="0" applyFont="1" applyFill="1" applyBorder="1"/>
    <xf numFmtId="164" fontId="12" fillId="3" borderId="29" xfId="0" applyNumberFormat="1" applyFont="1" applyFill="1" applyBorder="1"/>
    <xf numFmtId="164" fontId="0" fillId="3" borderId="21" xfId="0" applyNumberFormat="1" applyFill="1" applyBorder="1"/>
    <xf numFmtId="0" fontId="0" fillId="3" borderId="0" xfId="0" applyFill="1" applyBorder="1"/>
    <xf numFmtId="166" fontId="6" fillId="5" borderId="0" xfId="1" applyNumberFormat="1" applyFont="1" applyFill="1" applyBorder="1" applyAlignment="1">
      <alignment horizontal="left" vertical="center" wrapText="1"/>
    </xf>
    <xf numFmtId="0" fontId="12" fillId="3" borderId="18" xfId="0" applyFont="1" applyFill="1" applyBorder="1"/>
    <xf numFmtId="0" fontId="12" fillId="3" borderId="19" xfId="0" applyFont="1" applyFill="1" applyBorder="1" applyAlignment="1">
      <alignment wrapText="1"/>
    </xf>
    <xf numFmtId="0" fontId="12" fillId="3" borderId="19" xfId="0" applyFont="1" applyFill="1" applyBorder="1"/>
    <xf numFmtId="164" fontId="12" fillId="3" borderId="20" xfId="0" applyNumberFormat="1" applyFont="1" applyFill="1" applyBorder="1"/>
    <xf numFmtId="164" fontId="0" fillId="3" borderId="0" xfId="0" applyNumberFormat="1" applyFill="1" applyBorder="1"/>
    <xf numFmtId="0" fontId="0" fillId="3" borderId="3" xfId="0" applyFill="1" applyBorder="1" applyAlignment="1">
      <alignment wrapText="1"/>
    </xf>
    <xf numFmtId="164" fontId="0" fillId="3" borderId="3" xfId="0" applyNumberFormat="1" applyFill="1" applyBorder="1"/>
    <xf numFmtId="166" fontId="6" fillId="5" borderId="3" xfId="1" applyNumberFormat="1" applyFont="1" applyFill="1" applyBorder="1" applyAlignment="1">
      <alignment horizontal="left" vertical="center" wrapText="1"/>
    </xf>
    <xf numFmtId="0" fontId="11" fillId="0" borderId="0" xfId="73"/>
    <xf numFmtId="43" fontId="46" fillId="6" borderId="1" xfId="1" applyNumberFormat="1" applyFont="1" applyFill="1" applyBorder="1" applyAlignment="1">
      <alignment horizontal="left" vertical="center" wrapText="1"/>
    </xf>
    <xf numFmtId="0" fontId="19" fillId="3" borderId="0" xfId="73" applyFont="1" applyFill="1" applyBorder="1"/>
    <xf numFmtId="7" fontId="6" fillId="6" borderId="1" xfId="1" applyNumberFormat="1" applyFont="1" applyFill="1" applyBorder="1" applyAlignment="1" applyProtection="1">
      <alignment horizontal="left" vertical="center" wrapText="1"/>
      <protection locked="0"/>
    </xf>
    <xf numFmtId="165" fontId="24" fillId="6" borderId="1" xfId="1" applyNumberFormat="1" applyFont="1" applyFill="1" applyBorder="1" applyAlignment="1">
      <alignment vertical="center" wrapText="1"/>
    </xf>
    <xf numFmtId="165" fontId="48" fillId="6" borderId="1" xfId="1" applyNumberFormat="1" applyFont="1" applyFill="1" applyBorder="1" applyAlignment="1">
      <alignment vertical="center" wrapText="1"/>
    </xf>
    <xf numFmtId="0" fontId="11" fillId="3" borderId="0" xfId="73" applyFill="1"/>
    <xf numFmtId="0" fontId="0" fillId="4" borderId="0" xfId="0" applyFill="1"/>
    <xf numFmtId="0" fontId="5" fillId="3" borderId="11" xfId="0" applyFont="1" applyFill="1" applyBorder="1" applyAlignment="1" applyProtection="1">
      <alignment horizontal="left" vertical="center"/>
      <protection locked="0"/>
    </xf>
    <xf numFmtId="0" fontId="35" fillId="3" borderId="12" xfId="2" applyFont="1" applyFill="1" applyBorder="1" applyAlignment="1" applyProtection="1">
      <alignment horizontal="left" vertical="center"/>
      <protection locked="0"/>
    </xf>
    <xf numFmtId="14" fontId="5" fillId="3" borderId="14" xfId="2" applyNumberFormat="1" applyFont="1" applyFill="1" applyBorder="1" applyAlignment="1" applyProtection="1">
      <alignment horizontal="center" vertical="center"/>
      <protection locked="0"/>
    </xf>
    <xf numFmtId="0" fontId="5" fillId="3" borderId="0" xfId="0" applyFont="1" applyFill="1" applyBorder="1" applyAlignment="1" applyProtection="1">
      <alignment vertical="center"/>
      <protection locked="0"/>
    </xf>
    <xf numFmtId="0" fontId="35" fillId="3" borderId="16" xfId="0" applyFont="1" applyFill="1" applyBorder="1" applyAlignment="1" applyProtection="1">
      <alignment vertical="center"/>
      <protection locked="0"/>
    </xf>
    <xf numFmtId="0" fontId="35" fillId="3" borderId="0" xfId="0" applyFont="1" applyFill="1" applyBorder="1" applyAlignment="1" applyProtection="1">
      <alignment vertical="center"/>
      <protection locked="0"/>
    </xf>
    <xf numFmtId="43" fontId="7" fillId="6" borderId="1" xfId="1" applyNumberFormat="1" applyFont="1" applyFill="1" applyBorder="1" applyAlignment="1">
      <alignment horizontal="left" vertical="center" wrapText="1"/>
    </xf>
    <xf numFmtId="164" fontId="12" fillId="16" borderId="1" xfId="73" applyNumberFormat="1" applyFont="1" applyFill="1" applyBorder="1" applyAlignment="1">
      <alignment vertical="center"/>
    </xf>
    <xf numFmtId="0" fontId="52" fillId="3" borderId="0" xfId="0" applyFont="1" applyFill="1"/>
    <xf numFmtId="1" fontId="53" fillId="3" borderId="1" xfId="0" applyNumberFormat="1" applyFont="1" applyFill="1" applyBorder="1" applyAlignment="1">
      <alignment horizontal="center" wrapText="1"/>
    </xf>
    <xf numFmtId="0" fontId="41" fillId="17" borderId="3" xfId="0" applyFont="1" applyFill="1" applyBorder="1"/>
    <xf numFmtId="0" fontId="41" fillId="17" borderId="0" xfId="0" applyFont="1" applyFill="1"/>
    <xf numFmtId="0" fontId="41" fillId="14" borderId="0" xfId="0" applyFont="1" applyFill="1"/>
    <xf numFmtId="0" fontId="41" fillId="20" borderId="0" xfId="0" applyFont="1" applyFill="1"/>
    <xf numFmtId="0" fontId="51" fillId="3" borderId="5" xfId="0" applyFont="1" applyFill="1" applyBorder="1" applyAlignment="1"/>
    <xf numFmtId="0" fontId="51" fillId="3" borderId="0" xfId="0" applyFont="1" applyFill="1" applyBorder="1" applyAlignment="1"/>
    <xf numFmtId="0" fontId="50" fillId="3" borderId="0" xfId="0" applyFont="1" applyFill="1" applyBorder="1" applyAlignment="1"/>
    <xf numFmtId="43" fontId="43" fillId="6" borderId="1" xfId="1" applyNumberFormat="1" applyFont="1" applyFill="1" applyBorder="1" applyAlignment="1">
      <alignment horizontal="left" vertical="center" wrapText="1"/>
    </xf>
    <xf numFmtId="0" fontId="50" fillId="9" borderId="3" xfId="0" applyFont="1" applyFill="1" applyBorder="1"/>
    <xf numFmtId="0" fontId="50" fillId="3" borderId="0" xfId="0" applyFont="1" applyFill="1"/>
    <xf numFmtId="1" fontId="53" fillId="9" borderId="3" xfId="0" applyNumberFormat="1" applyFont="1" applyFill="1" applyBorder="1" applyAlignment="1">
      <alignment horizontal="center" wrapText="1"/>
    </xf>
    <xf numFmtId="0" fontId="50" fillId="9" borderId="7" xfId="0" applyFont="1" applyFill="1" applyBorder="1"/>
    <xf numFmtId="0" fontId="50" fillId="3" borderId="3" xfId="0" applyFont="1" applyFill="1" applyBorder="1"/>
    <xf numFmtId="0" fontId="50" fillId="3" borderId="7" xfId="0" applyFont="1" applyFill="1" applyBorder="1"/>
    <xf numFmtId="0" fontId="50" fillId="0" borderId="1" xfId="0" applyFont="1" applyBorder="1"/>
    <xf numFmtId="1" fontId="53" fillId="3" borderId="3" xfId="0" applyNumberFormat="1" applyFont="1" applyFill="1" applyBorder="1" applyAlignment="1">
      <alignment horizontal="center" wrapText="1"/>
    </xf>
    <xf numFmtId="0" fontId="50" fillId="0" borderId="3" xfId="0" applyFont="1" applyBorder="1"/>
    <xf numFmtId="0" fontId="50" fillId="4" borderId="3" xfId="0" applyFont="1" applyFill="1" applyBorder="1"/>
    <xf numFmtId="0" fontId="50" fillId="0" borderId="7" xfId="0" applyFont="1" applyBorder="1"/>
    <xf numFmtId="1" fontId="50" fillId="0" borderId="0" xfId="0" applyNumberFormat="1" applyFont="1" applyAlignment="1">
      <alignment horizontal="center"/>
    </xf>
    <xf numFmtId="0" fontId="54" fillId="21" borderId="0" xfId="0" applyFont="1" applyFill="1"/>
    <xf numFmtId="164" fontId="55" fillId="21" borderId="1" xfId="0" applyNumberFormat="1" applyFont="1" applyFill="1" applyBorder="1"/>
    <xf numFmtId="0" fontId="46" fillId="6" borderId="1" xfId="1" applyNumberFormat="1" applyFont="1" applyFill="1" applyBorder="1" applyAlignment="1">
      <alignment horizontal="left" vertical="center" wrapText="1"/>
    </xf>
    <xf numFmtId="0" fontId="11" fillId="3" borderId="0" xfId="73" applyFill="1" applyBorder="1"/>
    <xf numFmtId="0" fontId="56" fillId="3" borderId="0" xfId="73" applyFont="1" applyFill="1" applyBorder="1"/>
    <xf numFmtId="0" fontId="26" fillId="4" borderId="0" xfId="0" applyFont="1" applyFill="1" applyBorder="1" applyAlignment="1">
      <alignment horizontal="center" vertical="center"/>
    </xf>
    <xf numFmtId="0" fontId="26" fillId="4" borderId="14" xfId="0" applyFont="1" applyFill="1" applyBorder="1" applyAlignment="1">
      <alignment horizontal="center" vertical="center"/>
    </xf>
    <xf numFmtId="0" fontId="26" fillId="4" borderId="13" xfId="0" applyFont="1" applyFill="1" applyBorder="1" applyAlignment="1">
      <alignment horizontal="center" vertical="center"/>
    </xf>
    <xf numFmtId="9" fontId="25" fillId="5" borderId="0" xfId="1" applyNumberFormat="1" applyFont="1" applyFill="1" applyBorder="1" applyAlignment="1" applyProtection="1">
      <alignment horizontal="right" vertical="center" wrapText="1"/>
      <protection locked="0"/>
    </xf>
    <xf numFmtId="0" fontId="0" fillId="0" borderId="0" xfId="0" applyProtection="1"/>
    <xf numFmtId="0" fontId="5" fillId="5" borderId="1" xfId="1" applyNumberFormat="1" applyFont="1" applyFill="1" applyBorder="1" applyAlignment="1" applyProtection="1">
      <alignment horizontal="left" vertical="center" wrapText="1"/>
    </xf>
    <xf numFmtId="0" fontId="35" fillId="3" borderId="0" xfId="2" applyFont="1" applyFill="1" applyBorder="1" applyAlignment="1" applyProtection="1">
      <alignment horizontal="right" vertical="center"/>
      <protection locked="0"/>
    </xf>
    <xf numFmtId="0" fontId="5" fillId="3" borderId="0" xfId="2" applyFont="1" applyFill="1" applyBorder="1" applyAlignment="1" applyProtection="1">
      <alignment vertical="center"/>
      <protection locked="0"/>
    </xf>
    <xf numFmtId="0" fontId="5" fillId="3" borderId="14" xfId="2" applyFont="1" applyFill="1" applyBorder="1" applyAlignment="1" applyProtection="1">
      <alignment vertical="center"/>
      <protection locked="0"/>
    </xf>
    <xf numFmtId="0" fontId="35" fillId="3" borderId="0" xfId="2" applyFont="1" applyFill="1" applyBorder="1" applyAlignment="1" applyProtection="1">
      <alignment vertical="center"/>
      <protection locked="0"/>
    </xf>
    <xf numFmtId="3" fontId="35" fillId="3" borderId="17" xfId="2" applyNumberFormat="1" applyFont="1" applyFill="1" applyBorder="1" applyAlignment="1" applyProtection="1">
      <alignment horizontal="center" vertical="center"/>
      <protection locked="0"/>
    </xf>
    <xf numFmtId="7" fontId="2" fillId="3" borderId="0" xfId="0" applyNumberFormat="1" applyFont="1" applyFill="1" applyProtection="1">
      <protection locked="0"/>
    </xf>
    <xf numFmtId="7" fontId="45" fillId="3" borderId="0" xfId="0" applyNumberFormat="1" applyFont="1" applyFill="1" applyProtection="1">
      <protection locked="0"/>
    </xf>
    <xf numFmtId="9" fontId="45" fillId="3" borderId="0" xfId="0" applyNumberFormat="1" applyFont="1" applyFill="1" applyProtection="1">
      <protection locked="0"/>
    </xf>
    <xf numFmtId="9" fontId="20" fillId="3" borderId="0" xfId="0" applyNumberFormat="1" applyFont="1" applyFill="1" applyProtection="1">
      <protection locked="0"/>
    </xf>
    <xf numFmtId="0" fontId="58" fillId="15" borderId="0" xfId="73" applyFont="1" applyFill="1" applyAlignment="1">
      <alignment horizontal="center" vertical="center"/>
    </xf>
    <xf numFmtId="7" fontId="13" fillId="3" borderId="0" xfId="0" applyNumberFormat="1" applyFont="1" applyFill="1" applyProtection="1">
      <protection locked="0"/>
    </xf>
    <xf numFmtId="0" fontId="0" fillId="0" borderId="0" xfId="0" applyProtection="1">
      <protection locked="0"/>
    </xf>
    <xf numFmtId="0" fontId="17" fillId="8" borderId="0" xfId="3" applyFont="1" applyFill="1" applyBorder="1" applyAlignment="1" applyProtection="1">
      <alignment vertical="center"/>
      <protection locked="0"/>
    </xf>
    <xf numFmtId="3" fontId="35" fillId="3" borderId="14" xfId="2" applyNumberFormat="1" applyFont="1" applyFill="1" applyBorder="1" applyAlignment="1" applyProtection="1">
      <alignment vertical="center"/>
      <protection locked="0"/>
    </xf>
    <xf numFmtId="0" fontId="35" fillId="3" borderId="11" xfId="0" applyFont="1" applyFill="1" applyBorder="1" applyAlignment="1" applyProtection="1">
      <alignment vertical="center"/>
      <protection locked="0"/>
    </xf>
    <xf numFmtId="0" fontId="35" fillId="3" borderId="12" xfId="0" applyFont="1" applyFill="1" applyBorder="1" applyAlignment="1" applyProtection="1">
      <alignment vertical="center"/>
      <protection locked="0"/>
    </xf>
    <xf numFmtId="166" fontId="35" fillId="2" borderId="0" xfId="0" applyNumberFormat="1" applyFont="1" applyFill="1" applyBorder="1" applyAlignment="1" applyProtection="1">
      <alignment vertical="center"/>
      <protection locked="0"/>
    </xf>
    <xf numFmtId="3" fontId="35" fillId="3" borderId="14" xfId="0" applyNumberFormat="1" applyFont="1" applyFill="1" applyBorder="1" applyAlignment="1" applyProtection="1">
      <alignment vertical="center"/>
      <protection locked="0"/>
    </xf>
    <xf numFmtId="4" fontId="35" fillId="3" borderId="0" xfId="0" applyNumberFormat="1" applyFont="1" applyFill="1" applyBorder="1" applyAlignment="1" applyProtection="1">
      <alignment vertical="center"/>
      <protection locked="0"/>
    </xf>
    <xf numFmtId="167" fontId="35" fillId="3" borderId="0" xfId="0" applyNumberFormat="1" applyFont="1" applyFill="1" applyBorder="1" applyAlignment="1" applyProtection="1">
      <alignment vertical="center"/>
      <protection locked="0"/>
    </xf>
    <xf numFmtId="0" fontId="61" fillId="3" borderId="0" xfId="0" applyFont="1" applyFill="1" applyBorder="1" applyAlignment="1" applyProtection="1">
      <alignment vertical="center" wrapText="1"/>
      <protection locked="0"/>
    </xf>
    <xf numFmtId="3" fontId="29" fillId="2" borderId="14" xfId="0" applyNumberFormat="1" applyFont="1" applyFill="1" applyBorder="1" applyAlignment="1" applyProtection="1">
      <alignment vertical="center"/>
      <protection locked="0"/>
    </xf>
    <xf numFmtId="0" fontId="35" fillId="3" borderId="16" xfId="0" applyFont="1" applyFill="1" applyBorder="1" applyAlignment="1" applyProtection="1">
      <alignment horizontal="center" vertical="center"/>
      <protection locked="0"/>
    </xf>
    <xf numFmtId="0" fontId="35" fillId="3" borderId="17" xfId="0" applyFont="1" applyFill="1" applyBorder="1" applyAlignment="1" applyProtection="1">
      <alignment horizontal="center" vertical="center"/>
      <protection locked="0"/>
    </xf>
    <xf numFmtId="0" fontId="35" fillId="3" borderId="0" xfId="0" applyFont="1" applyFill="1" applyBorder="1" applyAlignment="1" applyProtection="1">
      <alignment horizontal="center" vertical="center"/>
      <protection locked="0"/>
    </xf>
    <xf numFmtId="0" fontId="24" fillId="4" borderId="19" xfId="0" applyFont="1" applyFill="1" applyBorder="1" applyAlignment="1" applyProtection="1">
      <alignment vertical="center"/>
      <protection locked="0"/>
    </xf>
    <xf numFmtId="0" fontId="24" fillId="4" borderId="20" xfId="0" applyFont="1" applyFill="1" applyBorder="1" applyAlignment="1" applyProtection="1">
      <alignment vertical="center"/>
      <protection locked="0"/>
    </xf>
    <xf numFmtId="43" fontId="7" fillId="5" borderId="0" xfId="1" applyNumberFormat="1" applyFont="1" applyFill="1" applyBorder="1" applyAlignment="1" applyProtection="1">
      <alignment vertical="center" wrapText="1"/>
      <protection locked="0"/>
    </xf>
    <xf numFmtId="0" fontId="0" fillId="3" borderId="0" xfId="0" applyFill="1" applyBorder="1" applyProtection="1">
      <protection locked="0"/>
    </xf>
    <xf numFmtId="8" fontId="10" fillId="3" borderId="0" xfId="0" applyNumberFormat="1" applyFont="1" applyFill="1" applyBorder="1" applyAlignment="1" applyProtection="1">
      <alignment wrapText="1"/>
      <protection locked="0"/>
    </xf>
    <xf numFmtId="8" fontId="50" fillId="3" borderId="0" xfId="0" applyNumberFormat="1" applyFont="1" applyFill="1" applyBorder="1" applyAlignment="1" applyProtection="1">
      <alignment wrapText="1"/>
      <protection locked="0"/>
    </xf>
    <xf numFmtId="0" fontId="0" fillId="3" borderId="0" xfId="0" applyFill="1" applyProtection="1">
      <protection locked="0"/>
    </xf>
    <xf numFmtId="0" fontId="62" fillId="3" borderId="0" xfId="0" applyFont="1" applyFill="1" applyProtection="1">
      <protection locked="0"/>
    </xf>
    <xf numFmtId="0" fontId="2" fillId="3" borderId="0" xfId="0" applyFont="1" applyFill="1" applyProtection="1">
      <protection locked="0"/>
    </xf>
    <xf numFmtId="0" fontId="45" fillId="3" borderId="0" xfId="0" applyFont="1" applyFill="1" applyProtection="1">
      <protection locked="0"/>
    </xf>
    <xf numFmtId="0" fontId="63" fillId="3" borderId="0" xfId="0" applyFont="1" applyFill="1" applyProtection="1">
      <protection locked="0"/>
    </xf>
    <xf numFmtId="0" fontId="6" fillId="3" borderId="0" xfId="0" applyFont="1" applyFill="1" applyProtection="1">
      <protection locked="0"/>
    </xf>
    <xf numFmtId="0" fontId="64" fillId="3" borderId="0" xfId="0" applyFont="1" applyFill="1" applyProtection="1">
      <protection locked="0"/>
    </xf>
    <xf numFmtId="0" fontId="65" fillId="3" borderId="0" xfId="0" applyFont="1" applyFill="1" applyAlignment="1" applyProtection="1">
      <protection locked="0"/>
    </xf>
    <xf numFmtId="0" fontId="9" fillId="0" borderId="0" xfId="0" applyFont="1" applyProtection="1">
      <protection locked="0"/>
    </xf>
    <xf numFmtId="0" fontId="67" fillId="3" borderId="0" xfId="0" applyFont="1" applyFill="1" applyProtection="1">
      <protection locked="0"/>
    </xf>
    <xf numFmtId="0" fontId="68" fillId="0" borderId="0" xfId="0" applyFont="1" applyProtection="1">
      <protection locked="0"/>
    </xf>
    <xf numFmtId="0" fontId="0" fillId="13" borderId="0" xfId="0" applyFill="1"/>
    <xf numFmtId="0" fontId="1" fillId="13" borderId="1" xfId="0" applyFont="1" applyFill="1" applyBorder="1" applyAlignment="1">
      <alignment horizontal="center" wrapText="1"/>
    </xf>
    <xf numFmtId="164" fontId="0" fillId="4" borderId="0" xfId="0" applyNumberFormat="1" applyFill="1"/>
    <xf numFmtId="0" fontId="0" fillId="4" borderId="1" xfId="0" applyFill="1" applyBorder="1"/>
    <xf numFmtId="0" fontId="0" fillId="4" borderId="0" xfId="0" applyFont="1" applyFill="1"/>
    <xf numFmtId="9" fontId="0" fillId="3" borderId="0" xfId="73" applyNumberFormat="1" applyFont="1" applyFill="1"/>
    <xf numFmtId="0" fontId="11" fillId="0" borderId="0" xfId="73" applyFill="1"/>
    <xf numFmtId="43" fontId="69" fillId="6" borderId="1" xfId="1" applyNumberFormat="1" applyFont="1" applyFill="1" applyBorder="1" applyAlignment="1">
      <alignment horizontal="center" vertical="center"/>
    </xf>
    <xf numFmtId="43" fontId="71" fillId="6" borderId="1" xfId="1" applyNumberFormat="1" applyFont="1" applyFill="1" applyBorder="1" applyAlignment="1">
      <alignment vertical="center" wrapText="1"/>
    </xf>
    <xf numFmtId="43" fontId="59" fillId="6" borderId="1" xfId="1" applyNumberFormat="1" applyFont="1" applyFill="1" applyBorder="1" applyAlignment="1">
      <alignment horizontal="center" vertical="center"/>
    </xf>
    <xf numFmtId="43" fontId="73" fillId="6" borderId="1" xfId="1" applyNumberFormat="1" applyFont="1" applyFill="1" applyBorder="1" applyAlignment="1">
      <alignment horizontal="center" vertical="center"/>
    </xf>
    <xf numFmtId="0" fontId="74" fillId="23" borderId="0" xfId="0" applyFont="1" applyFill="1"/>
    <xf numFmtId="0" fontId="75" fillId="23" borderId="0" xfId="0" applyFont="1" applyFill="1"/>
    <xf numFmtId="0" fontId="5" fillId="6" borderId="1" xfId="1" applyNumberFormat="1" applyFont="1" applyFill="1" applyBorder="1" applyAlignment="1">
      <alignment horizontal="left" vertical="center" wrapText="1"/>
    </xf>
    <xf numFmtId="0" fontId="11" fillId="24" borderId="0" xfId="73" applyFill="1"/>
    <xf numFmtId="0" fontId="11" fillId="24" borderId="0" xfId="73" applyFill="1" applyBorder="1"/>
    <xf numFmtId="0" fontId="0" fillId="24" borderId="0" xfId="0" applyFill="1"/>
    <xf numFmtId="0" fontId="19" fillId="24" borderId="0" xfId="73" applyFont="1" applyFill="1"/>
    <xf numFmtId="44" fontId="45" fillId="6" borderId="1" xfId="1" applyNumberFormat="1" applyFont="1" applyFill="1" applyBorder="1" applyAlignment="1" applyProtection="1">
      <alignment horizontal="left" vertical="center" wrapText="1"/>
      <protection locked="0"/>
    </xf>
    <xf numFmtId="0" fontId="0" fillId="12" borderId="0" xfId="0" applyFont="1" applyFill="1" applyAlignment="1"/>
    <xf numFmtId="0" fontId="54" fillId="12" borderId="3" xfId="0" applyFont="1" applyFill="1" applyBorder="1" applyAlignment="1">
      <alignment wrapText="1"/>
    </xf>
    <xf numFmtId="164" fontId="12" fillId="12" borderId="1" xfId="73" applyNumberFormat="1" applyFont="1" applyFill="1" applyBorder="1" applyAlignment="1">
      <alignment vertical="center"/>
    </xf>
    <xf numFmtId="164" fontId="12" fillId="12" borderId="3" xfId="0" applyNumberFormat="1" applyFont="1" applyFill="1" applyBorder="1"/>
    <xf numFmtId="0" fontId="52" fillId="12" borderId="0" xfId="0" applyFont="1" applyFill="1"/>
    <xf numFmtId="164" fontId="1" fillId="12" borderId="1" xfId="0" applyNumberFormat="1" applyFont="1" applyFill="1" applyBorder="1" applyAlignment="1">
      <alignment horizontal="center" wrapText="1"/>
    </xf>
    <xf numFmtId="0" fontId="0" fillId="12" borderId="1" xfId="0" applyFont="1" applyFill="1" applyBorder="1"/>
    <xf numFmtId="164" fontId="0" fillId="12" borderId="1" xfId="0" applyNumberFormat="1" applyFont="1" applyFill="1" applyBorder="1"/>
    <xf numFmtId="4" fontId="12" fillId="12" borderId="1" xfId="0" applyNumberFormat="1" applyFont="1" applyFill="1" applyBorder="1"/>
    <xf numFmtId="164" fontId="12" fillId="12" borderId="1" xfId="0" applyNumberFormat="1" applyFont="1" applyFill="1" applyBorder="1"/>
    <xf numFmtId="0" fontId="0" fillId="12" borderId="3" xfId="0" applyFill="1" applyBorder="1"/>
    <xf numFmtId="0" fontId="0" fillId="12" borderId="0" xfId="0" applyFont="1" applyFill="1"/>
    <xf numFmtId="0" fontId="2" fillId="19" borderId="0" xfId="0" applyFont="1" applyFill="1" applyAlignment="1">
      <alignment wrapText="1"/>
    </xf>
    <xf numFmtId="0" fontId="0" fillId="24" borderId="2" xfId="73" applyFont="1" applyFill="1" applyBorder="1"/>
    <xf numFmtId="0" fontId="19" fillId="24" borderId="1" xfId="73" applyFont="1" applyFill="1" applyBorder="1"/>
    <xf numFmtId="43" fontId="24" fillId="5" borderId="0" xfId="1" applyNumberFormat="1" applyFont="1" applyFill="1" applyBorder="1" applyAlignment="1" applyProtection="1">
      <alignment horizontal="left" vertical="center" wrapText="1"/>
      <protection locked="0"/>
    </xf>
    <xf numFmtId="4" fontId="19" fillId="0" borderId="0" xfId="73" applyNumberFormat="1" applyFont="1"/>
    <xf numFmtId="4" fontId="11" fillId="0" borderId="0" xfId="73" applyNumberFormat="1" applyFill="1"/>
    <xf numFmtId="4" fontId="11" fillId="0" borderId="0" xfId="73" applyNumberFormat="1"/>
    <xf numFmtId="4" fontId="0" fillId="0" borderId="0" xfId="73" applyNumberFormat="1" applyFont="1" applyFill="1"/>
    <xf numFmtId="170" fontId="11" fillId="0" borderId="0" xfId="73" applyNumberFormat="1"/>
    <xf numFmtId="165" fontId="3" fillId="5" borderId="1" xfId="1" applyNumberFormat="1" applyFont="1" applyFill="1" applyBorder="1" applyAlignment="1" applyProtection="1">
      <alignment horizontal="left" vertical="center" wrapText="1"/>
    </xf>
    <xf numFmtId="7" fontId="12" fillId="5" borderId="0" xfId="1" applyNumberFormat="1" applyFont="1" applyFill="1" applyBorder="1" applyAlignment="1" applyProtection="1">
      <alignment horizontal="left" vertical="center" wrapText="1"/>
      <protection locked="0"/>
    </xf>
    <xf numFmtId="0" fontId="2" fillId="3" borderId="0" xfId="0" applyFont="1" applyFill="1" applyBorder="1" applyAlignment="1"/>
    <xf numFmtId="0" fontId="78" fillId="3" borderId="5" xfId="0" applyFont="1" applyFill="1" applyBorder="1" applyAlignment="1"/>
    <xf numFmtId="0" fontId="0" fillId="3" borderId="7" xfId="0" applyFill="1" applyBorder="1"/>
    <xf numFmtId="0" fontId="0" fillId="12" borderId="9" xfId="0" applyFill="1" applyBorder="1"/>
    <xf numFmtId="165" fontId="42" fillId="13" borderId="1" xfId="1" applyNumberFormat="1" applyFont="1" applyFill="1" applyBorder="1" applyAlignment="1">
      <alignment vertical="center" wrapText="1"/>
    </xf>
    <xf numFmtId="7" fontId="25" fillId="13" borderId="1" xfId="1" applyNumberFormat="1" applyFont="1" applyFill="1" applyBorder="1" applyAlignment="1" applyProtection="1">
      <alignment horizontal="left" vertical="center" wrapText="1"/>
      <protection locked="0"/>
    </xf>
    <xf numFmtId="1" fontId="5" fillId="5" borderId="1" xfId="1" applyNumberFormat="1" applyFont="1" applyFill="1" applyBorder="1" applyAlignment="1" applyProtection="1">
      <alignment horizontal="center" vertical="center" wrapText="1"/>
    </xf>
    <xf numFmtId="43" fontId="7" fillId="6" borderId="3" xfId="1" applyNumberFormat="1" applyFont="1" applyFill="1" applyBorder="1" applyAlignment="1">
      <alignment horizontal="left" vertical="center" wrapText="1"/>
    </xf>
    <xf numFmtId="0" fontId="81" fillId="3" borderId="16" xfId="0" applyFont="1" applyFill="1" applyBorder="1" applyAlignment="1" applyProtection="1">
      <alignment vertical="center"/>
      <protection locked="0"/>
    </xf>
    <xf numFmtId="43" fontId="82" fillId="6" borderId="1" xfId="1" applyNumberFormat="1" applyFont="1" applyFill="1" applyBorder="1" applyAlignment="1">
      <alignment horizontal="center" vertical="center"/>
    </xf>
    <xf numFmtId="44" fontId="19" fillId="3" borderId="1" xfId="73" applyNumberFormat="1" applyFont="1" applyFill="1" applyBorder="1" applyAlignment="1" applyProtection="1">
      <alignment horizontal="right"/>
      <protection locked="0"/>
    </xf>
    <xf numFmtId="0" fontId="19" fillId="3" borderId="1" xfId="73" applyFont="1" applyFill="1" applyBorder="1" applyProtection="1">
      <protection locked="0"/>
    </xf>
    <xf numFmtId="0" fontId="9" fillId="0" borderId="1" xfId="0" applyFont="1" applyBorder="1" applyProtection="1">
      <protection locked="0"/>
    </xf>
    <xf numFmtId="0" fontId="19" fillId="24" borderId="0" xfId="73" applyFont="1" applyFill="1" applyProtection="1">
      <protection locked="0"/>
    </xf>
    <xf numFmtId="169" fontId="19" fillId="3" borderId="4" xfId="73" applyNumberFormat="1" applyFont="1" applyFill="1" applyBorder="1" applyProtection="1">
      <protection locked="0"/>
    </xf>
    <xf numFmtId="0" fontId="45" fillId="3" borderId="1" xfId="73" applyFont="1" applyFill="1" applyBorder="1" applyProtection="1">
      <protection locked="0"/>
    </xf>
    <xf numFmtId="169" fontId="19" fillId="3" borderId="3" xfId="73" applyNumberFormat="1" applyFont="1" applyFill="1" applyBorder="1" applyProtection="1">
      <protection locked="0"/>
    </xf>
    <xf numFmtId="0" fontId="11" fillId="0" borderId="0" xfId="73" applyProtection="1">
      <protection locked="0"/>
    </xf>
    <xf numFmtId="2" fontId="11" fillId="3" borderId="0" xfId="73" applyNumberFormat="1" applyFill="1" applyProtection="1">
      <protection locked="0"/>
    </xf>
    <xf numFmtId="0" fontId="11" fillId="3" borderId="0" xfId="73" applyFill="1" applyProtection="1">
      <protection locked="0"/>
    </xf>
    <xf numFmtId="43" fontId="76" fillId="6" borderId="1" xfId="1" applyNumberFormat="1" applyFont="1" applyFill="1" applyBorder="1" applyAlignment="1" applyProtection="1">
      <alignment horizontal="center" vertical="center" wrapText="1"/>
      <protection locked="0"/>
    </xf>
    <xf numFmtId="165" fontId="48" fillId="6" borderId="1" xfId="1" applyNumberFormat="1" applyFont="1" applyFill="1" applyBorder="1" applyAlignment="1" applyProtection="1">
      <alignment vertical="center" wrapText="1"/>
      <protection locked="0"/>
    </xf>
    <xf numFmtId="9" fontId="48" fillId="6" borderId="1" xfId="1" applyNumberFormat="1" applyFont="1" applyFill="1" applyBorder="1" applyAlignment="1" applyProtection="1">
      <alignment vertical="center" wrapText="1"/>
      <protection locked="0"/>
    </xf>
    <xf numFmtId="165" fontId="25" fillId="6" borderId="1" xfId="1" applyNumberFormat="1" applyFont="1" applyFill="1" applyBorder="1" applyAlignment="1" applyProtection="1">
      <alignment vertical="center" wrapText="1"/>
      <protection locked="0"/>
    </xf>
    <xf numFmtId="165" fontId="24" fillId="6" borderId="1" xfId="1" applyNumberFormat="1" applyFont="1" applyFill="1" applyBorder="1" applyAlignment="1" applyProtection="1">
      <alignment vertical="center" wrapText="1"/>
      <protection locked="0"/>
    </xf>
    <xf numFmtId="165" fontId="47" fillId="6" borderId="1" xfId="1" applyNumberFormat="1" applyFont="1" applyFill="1" applyBorder="1" applyAlignment="1" applyProtection="1">
      <alignment vertical="center" wrapText="1"/>
      <protection locked="0"/>
    </xf>
    <xf numFmtId="165" fontId="49" fillId="6" borderId="1" xfId="1" applyNumberFormat="1" applyFont="1" applyFill="1" applyBorder="1" applyAlignment="1" applyProtection="1">
      <alignment vertical="center" wrapText="1"/>
      <protection locked="0"/>
    </xf>
    <xf numFmtId="0" fontId="26" fillId="13" borderId="31" xfId="0" applyFont="1" applyFill="1" applyBorder="1" applyAlignment="1" applyProtection="1">
      <alignment horizontal="center" vertical="center"/>
      <protection locked="0"/>
    </xf>
    <xf numFmtId="0" fontId="26" fillId="13" borderId="22" xfId="0" applyFont="1" applyFill="1" applyBorder="1" applyAlignment="1" applyProtection="1">
      <alignment horizontal="center" vertical="center"/>
      <protection locked="0"/>
    </xf>
    <xf numFmtId="0" fontId="26" fillId="13" borderId="23" xfId="0" applyFont="1" applyFill="1" applyBorder="1" applyAlignment="1" applyProtection="1">
      <alignment horizontal="center" vertical="center"/>
      <protection locked="0"/>
    </xf>
    <xf numFmtId="0" fontId="26" fillId="13" borderId="30" xfId="0" applyFont="1" applyFill="1" applyBorder="1" applyAlignment="1" applyProtection="1">
      <alignment vertical="center"/>
      <protection locked="0"/>
    </xf>
    <xf numFmtId="0" fontId="28" fillId="13" borderId="1" xfId="0" applyFont="1" applyFill="1" applyBorder="1" applyAlignment="1" applyProtection="1">
      <alignment vertical="center"/>
      <protection locked="0"/>
    </xf>
    <xf numFmtId="0" fontId="26" fillId="13" borderId="1" xfId="0" applyFont="1" applyFill="1" applyBorder="1" applyAlignment="1" applyProtection="1">
      <alignment vertical="center"/>
      <protection locked="0"/>
    </xf>
    <xf numFmtId="0" fontId="22" fillId="13" borderId="1" xfId="0" applyFont="1" applyFill="1" applyBorder="1" applyAlignment="1" applyProtection="1">
      <alignment vertical="center"/>
      <protection locked="0"/>
    </xf>
    <xf numFmtId="0" fontId="26" fillId="13" borderId="24" xfId="0" applyFont="1" applyFill="1" applyBorder="1" applyAlignment="1" applyProtection="1">
      <alignment vertical="center"/>
      <protection locked="0"/>
    </xf>
    <xf numFmtId="167" fontId="22" fillId="13" borderId="30" xfId="0" applyNumberFormat="1" applyFont="1" applyFill="1" applyBorder="1" applyAlignment="1" applyProtection="1">
      <alignment vertical="center"/>
      <protection locked="0"/>
    </xf>
    <xf numFmtId="167" fontId="22" fillId="13" borderId="1" xfId="0" applyNumberFormat="1" applyFont="1" applyFill="1" applyBorder="1" applyAlignment="1" applyProtection="1">
      <alignment vertical="center"/>
      <protection locked="0"/>
    </xf>
    <xf numFmtId="4" fontId="22" fillId="13" borderId="24" xfId="0" applyNumberFormat="1" applyFont="1" applyFill="1" applyBorder="1" applyAlignment="1" applyProtection="1">
      <alignment vertical="center"/>
      <protection locked="0"/>
    </xf>
    <xf numFmtId="9" fontId="22" fillId="13" borderId="32" xfId="0" applyNumberFormat="1" applyFont="1" applyFill="1" applyBorder="1" applyAlignment="1" applyProtection="1">
      <alignment vertical="center"/>
      <protection locked="0"/>
    </xf>
    <xf numFmtId="4" fontId="22" fillId="13" borderId="25" xfId="0" applyNumberFormat="1" applyFont="1" applyFill="1" applyBorder="1" applyAlignment="1" applyProtection="1">
      <alignment vertical="center"/>
      <protection locked="0"/>
    </xf>
    <xf numFmtId="167" fontId="26" fillId="13" borderId="25" xfId="0" applyNumberFormat="1" applyFont="1" applyFill="1" applyBorder="1" applyAlignment="1" applyProtection="1">
      <alignment vertical="center"/>
      <protection locked="0"/>
    </xf>
    <xf numFmtId="0" fontId="27" fillId="13" borderId="25" xfId="0" applyFont="1" applyFill="1" applyBorder="1" applyAlignment="1" applyProtection="1">
      <alignment vertical="center" wrapText="1"/>
      <protection locked="0"/>
    </xf>
    <xf numFmtId="3" fontId="21" fillId="13" borderId="26" xfId="0" applyNumberFormat="1" applyFont="1" applyFill="1" applyBorder="1" applyAlignment="1" applyProtection="1">
      <alignment vertical="center"/>
      <protection locked="0"/>
    </xf>
    <xf numFmtId="1" fontId="46" fillId="6" borderId="1" xfId="1" applyNumberFormat="1" applyFont="1" applyFill="1" applyBorder="1" applyAlignment="1" applyProtection="1">
      <alignment horizontal="center" vertical="center" wrapText="1"/>
      <protection locked="0"/>
    </xf>
    <xf numFmtId="0" fontId="0" fillId="26" borderId="0" xfId="0" applyFill="1"/>
    <xf numFmtId="43" fontId="46" fillId="26" borderId="0" xfId="1" applyNumberFormat="1" applyFont="1" applyFill="1" applyBorder="1" applyAlignment="1">
      <alignment horizontal="left" vertical="center" wrapText="1"/>
    </xf>
    <xf numFmtId="43" fontId="71" fillId="6" borderId="4" xfId="1" applyNumberFormat="1" applyFont="1" applyFill="1" applyBorder="1" applyAlignment="1">
      <alignment vertical="center" wrapText="1"/>
    </xf>
    <xf numFmtId="43" fontId="83" fillId="6" borderId="1" xfId="1" applyNumberFormat="1" applyFont="1" applyFill="1" applyBorder="1" applyAlignment="1">
      <alignment horizontal="center" vertical="center" wrapText="1"/>
    </xf>
    <xf numFmtId="0" fontId="0" fillId="3" borderId="0" xfId="0" applyFill="1" applyProtection="1"/>
    <xf numFmtId="43" fontId="25" fillId="3" borderId="0" xfId="1" applyNumberFormat="1" applyFont="1" applyFill="1" applyBorder="1" applyAlignment="1" applyProtection="1">
      <alignment horizontal="right" vertical="center" wrapText="1"/>
      <protection locked="0"/>
    </xf>
    <xf numFmtId="43" fontId="25" fillId="3" borderId="30" xfId="1" applyNumberFormat="1" applyFont="1" applyFill="1" applyBorder="1" applyAlignment="1" applyProtection="1">
      <alignment horizontal="center" vertical="center" wrapText="1"/>
      <protection locked="0"/>
    </xf>
    <xf numFmtId="9" fontId="25" fillId="3" borderId="1" xfId="1" applyNumberFormat="1" applyFont="1" applyFill="1" applyBorder="1" applyAlignment="1" applyProtection="1">
      <alignment horizontal="right" vertical="center" wrapText="1"/>
      <protection locked="0"/>
    </xf>
    <xf numFmtId="43" fontId="7" fillId="3" borderId="6" xfId="1" applyNumberFormat="1" applyFont="1" applyFill="1" applyBorder="1" applyAlignment="1" applyProtection="1">
      <alignment vertical="center" wrapText="1"/>
      <protection locked="0"/>
    </xf>
    <xf numFmtId="0" fontId="2" fillId="3" borderId="0" xfId="0" applyFont="1" applyFill="1" applyAlignment="1">
      <alignment wrapText="1"/>
    </xf>
    <xf numFmtId="0" fontId="0" fillId="8" borderId="0" xfId="0" applyFill="1"/>
    <xf numFmtId="0" fontId="0" fillId="27" borderId="0" xfId="0" applyFill="1"/>
    <xf numFmtId="165" fontId="5" fillId="28" borderId="0" xfId="1" applyNumberFormat="1" applyFont="1" applyFill="1" applyBorder="1" applyAlignment="1">
      <alignment horizontal="left" vertical="center" wrapText="1"/>
    </xf>
    <xf numFmtId="0" fontId="11" fillId="27" borderId="0" xfId="73" applyFill="1"/>
    <xf numFmtId="169" fontId="19" fillId="27" borderId="4" xfId="73" applyNumberFormat="1" applyFont="1" applyFill="1" applyBorder="1" applyProtection="1">
      <protection locked="0"/>
    </xf>
    <xf numFmtId="0" fontId="0" fillId="29" borderId="0" xfId="0" applyFill="1"/>
    <xf numFmtId="0" fontId="41" fillId="13" borderId="0" xfId="0" applyFont="1" applyFill="1"/>
    <xf numFmtId="43" fontId="7" fillId="30" borderId="3" xfId="1" applyNumberFormat="1" applyFont="1" applyFill="1" applyBorder="1" applyAlignment="1">
      <alignment horizontal="left" vertical="center" wrapText="1"/>
    </xf>
    <xf numFmtId="0" fontId="0" fillId="31" borderId="0" xfId="0" applyFill="1"/>
    <xf numFmtId="0" fontId="30" fillId="18" borderId="0" xfId="0" applyFont="1" applyFill="1"/>
    <xf numFmtId="0" fontId="0" fillId="18" borderId="0" xfId="0" applyFill="1"/>
    <xf numFmtId="0" fontId="0" fillId="32" borderId="0" xfId="0" applyFill="1"/>
    <xf numFmtId="0" fontId="0" fillId="33" borderId="0" xfId="0" applyFill="1"/>
    <xf numFmtId="7" fontId="3" fillId="5" borderId="1" xfId="1" applyNumberFormat="1" applyFont="1" applyFill="1" applyBorder="1" applyAlignment="1" applyProtection="1">
      <alignment horizontal="left" vertical="center" wrapText="1"/>
    </xf>
    <xf numFmtId="7" fontId="12" fillId="3" borderId="34" xfId="1" applyNumberFormat="1" applyFont="1" applyFill="1" applyBorder="1" applyAlignment="1" applyProtection="1">
      <alignment horizontal="left" vertical="center" wrapText="1"/>
    </xf>
    <xf numFmtId="7" fontId="2" fillId="3" borderId="33" xfId="1" applyNumberFormat="1" applyFont="1" applyFill="1" applyBorder="1" applyAlignment="1" applyProtection="1">
      <alignment horizontal="left" vertical="center" wrapText="1"/>
    </xf>
    <xf numFmtId="7" fontId="12" fillId="3" borderId="24" xfId="1" applyNumberFormat="1" applyFont="1" applyFill="1" applyBorder="1" applyAlignment="1" applyProtection="1">
      <alignment horizontal="left" vertical="center" wrapText="1"/>
    </xf>
    <xf numFmtId="7" fontId="12" fillId="3" borderId="1" xfId="1" applyNumberFormat="1" applyFont="1" applyFill="1" applyBorder="1" applyAlignment="1" applyProtection="1">
      <alignment horizontal="left" vertical="center" wrapText="1"/>
    </xf>
    <xf numFmtId="0" fontId="9" fillId="0" borderId="0" xfId="0" applyFont="1"/>
    <xf numFmtId="0" fontId="45" fillId="3" borderId="0" xfId="0" applyFont="1" applyFill="1" applyBorder="1" applyProtection="1">
      <protection locked="0"/>
    </xf>
    <xf numFmtId="0" fontId="45" fillId="3" borderId="11" xfId="0" applyFont="1" applyFill="1" applyBorder="1" applyProtection="1">
      <protection locked="0"/>
    </xf>
    <xf numFmtId="9" fontId="20" fillId="3" borderId="12" xfId="0" applyNumberFormat="1" applyFont="1" applyFill="1" applyBorder="1" applyProtection="1">
      <protection locked="0"/>
    </xf>
    <xf numFmtId="9" fontId="20" fillId="3" borderId="14" xfId="0" applyNumberFormat="1" applyFont="1" applyFill="1" applyBorder="1" applyProtection="1">
      <protection locked="0"/>
    </xf>
    <xf numFmtId="1" fontId="5" fillId="5" borderId="16" xfId="1" applyNumberFormat="1" applyFont="1" applyFill="1" applyBorder="1" applyAlignment="1" applyProtection="1">
      <alignment horizontal="center" vertical="center" wrapText="1"/>
    </xf>
    <xf numFmtId="9" fontId="20" fillId="3" borderId="17" xfId="0" applyNumberFormat="1" applyFont="1" applyFill="1" applyBorder="1" applyProtection="1">
      <protection locked="0"/>
    </xf>
    <xf numFmtId="0" fontId="45" fillId="3" borderId="16" xfId="0" applyFont="1" applyFill="1" applyBorder="1" applyProtection="1">
      <protection locked="0"/>
    </xf>
    <xf numFmtId="0" fontId="84" fillId="0" borderId="0" xfId="0" applyFont="1" applyProtection="1">
      <protection locked="0"/>
    </xf>
    <xf numFmtId="0" fontId="85" fillId="0" borderId="0" xfId="0" applyFont="1" applyProtection="1">
      <protection locked="0"/>
    </xf>
    <xf numFmtId="0" fontId="86" fillId="0" borderId="0" xfId="0" applyFont="1" applyProtection="1"/>
    <xf numFmtId="0" fontId="41" fillId="4" borderId="3" xfId="0" applyFont="1" applyFill="1" applyBorder="1"/>
    <xf numFmtId="1" fontId="66" fillId="0" borderId="0" xfId="0" applyNumberFormat="1" applyFont="1" applyAlignment="1">
      <alignment horizontal="center"/>
    </xf>
    <xf numFmtId="165" fontId="42" fillId="34" borderId="1" xfId="1" applyNumberFormat="1" applyFont="1" applyFill="1" applyBorder="1" applyAlignment="1">
      <alignment vertical="center" wrapText="1"/>
    </xf>
    <xf numFmtId="167" fontId="5" fillId="34" borderId="1" xfId="1" applyNumberFormat="1" applyFont="1" applyFill="1" applyBorder="1" applyAlignment="1">
      <alignment horizontal="left" vertical="center" wrapText="1"/>
    </xf>
    <xf numFmtId="7" fontId="25" fillId="34" borderId="1" xfId="1" applyNumberFormat="1" applyFont="1" applyFill="1" applyBorder="1" applyAlignment="1" applyProtection="1">
      <alignment horizontal="right" vertical="center" wrapText="1"/>
      <protection locked="0"/>
    </xf>
    <xf numFmtId="7" fontId="25" fillId="34" borderId="1" xfId="1" applyNumberFormat="1" applyFont="1" applyFill="1" applyBorder="1" applyAlignment="1" applyProtection="1">
      <alignment horizontal="left" vertical="center" wrapText="1"/>
      <protection locked="0"/>
    </xf>
    <xf numFmtId="43" fontId="7" fillId="34" borderId="1" xfId="1" applyNumberFormat="1" applyFont="1" applyFill="1" applyBorder="1" applyAlignment="1">
      <alignment horizontal="center" vertical="center" wrapText="1"/>
    </xf>
    <xf numFmtId="43" fontId="25" fillId="34" borderId="1" xfId="1" applyNumberFormat="1" applyFont="1" applyFill="1" applyBorder="1" applyAlignment="1">
      <alignment horizontal="right" vertical="center" wrapText="1"/>
    </xf>
    <xf numFmtId="43" fontId="25" fillId="34" borderId="1" xfId="1" applyNumberFormat="1" applyFont="1" applyFill="1" applyBorder="1" applyAlignment="1">
      <alignment horizontal="center" vertical="center" wrapText="1"/>
    </xf>
    <xf numFmtId="9" fontId="25" fillId="34" borderId="1" xfId="1" applyNumberFormat="1" applyFont="1" applyFill="1" applyBorder="1" applyAlignment="1" applyProtection="1">
      <alignment horizontal="right" vertical="center" wrapText="1"/>
      <protection locked="0"/>
    </xf>
    <xf numFmtId="43" fontId="7" fillId="34" borderId="1" xfId="1" applyNumberFormat="1" applyFont="1" applyFill="1" applyBorder="1" applyAlignment="1">
      <alignment vertical="center" wrapText="1"/>
    </xf>
    <xf numFmtId="43" fontId="7" fillId="25" borderId="1" xfId="1" applyNumberFormat="1" applyFont="1" applyFill="1" applyBorder="1" applyAlignment="1">
      <alignment vertical="center" wrapText="1"/>
    </xf>
    <xf numFmtId="9" fontId="25" fillId="25" borderId="1" xfId="1" applyNumberFormat="1" applyFont="1" applyFill="1" applyBorder="1" applyAlignment="1" applyProtection="1">
      <alignment horizontal="right" vertical="center" wrapText="1"/>
      <protection locked="0"/>
    </xf>
    <xf numFmtId="7" fontId="25" fillId="25" borderId="1" xfId="1" applyNumberFormat="1" applyFont="1" applyFill="1" applyBorder="1" applyAlignment="1" applyProtection="1">
      <alignment horizontal="left" vertical="center" wrapText="1"/>
      <protection locked="0"/>
    </xf>
    <xf numFmtId="165" fontId="42" fillId="25" borderId="1" xfId="1" applyNumberFormat="1" applyFont="1" applyFill="1" applyBorder="1" applyAlignment="1">
      <alignment vertical="center" wrapText="1"/>
    </xf>
    <xf numFmtId="167" fontId="5" fillId="25" borderId="1" xfId="1" applyNumberFormat="1" applyFont="1" applyFill="1" applyBorder="1" applyAlignment="1">
      <alignment horizontal="left" vertical="center" wrapText="1"/>
    </xf>
    <xf numFmtId="7" fontId="25" fillId="25" borderId="1" xfId="1" applyNumberFormat="1" applyFont="1" applyFill="1" applyBorder="1" applyAlignment="1" applyProtection="1">
      <alignment horizontal="right" vertical="center" wrapText="1"/>
      <protection locked="0"/>
    </xf>
    <xf numFmtId="43" fontId="7" fillId="25" borderId="1" xfId="1" applyNumberFormat="1" applyFont="1" applyFill="1" applyBorder="1" applyAlignment="1">
      <alignment horizontal="center" vertical="center" wrapText="1"/>
    </xf>
    <xf numFmtId="43" fontId="25" fillId="25" borderId="1" xfId="1" applyNumberFormat="1" applyFont="1" applyFill="1" applyBorder="1" applyAlignment="1">
      <alignment horizontal="right" vertical="center" wrapText="1"/>
    </xf>
    <xf numFmtId="43" fontId="25" fillId="25" borderId="1" xfId="1" applyNumberFormat="1" applyFont="1" applyFill="1" applyBorder="1" applyAlignment="1">
      <alignment horizontal="center" vertical="center" wrapText="1"/>
    </xf>
    <xf numFmtId="0" fontId="19" fillId="25" borderId="0" xfId="73" applyFont="1" applyFill="1" applyBorder="1"/>
    <xf numFmtId="0" fontId="0" fillId="25" borderId="0" xfId="0" applyFill="1"/>
    <xf numFmtId="43" fontId="72" fillId="35" borderId="1" xfId="1" applyNumberFormat="1" applyFont="1" applyFill="1" applyBorder="1" applyAlignment="1">
      <alignment horizontal="center" vertical="center"/>
    </xf>
    <xf numFmtId="43" fontId="76" fillId="35" borderId="1" xfId="1" applyNumberFormat="1" applyFont="1" applyFill="1" applyBorder="1" applyAlignment="1" applyProtection="1">
      <alignment horizontal="center" vertical="center" wrapText="1"/>
      <protection locked="0"/>
    </xf>
    <xf numFmtId="0" fontId="5" fillId="35" borderId="1" xfId="1" applyNumberFormat="1" applyFont="1" applyFill="1" applyBorder="1" applyAlignment="1">
      <alignment horizontal="left" vertical="center" wrapText="1"/>
    </xf>
    <xf numFmtId="1" fontId="46" fillId="35" borderId="1" xfId="1" applyNumberFormat="1" applyFont="1" applyFill="1" applyBorder="1" applyAlignment="1" applyProtection="1">
      <alignment horizontal="center" vertical="center" wrapText="1"/>
      <protection locked="0"/>
    </xf>
    <xf numFmtId="44" fontId="45" fillId="35" borderId="1" xfId="1" applyNumberFormat="1" applyFont="1" applyFill="1" applyBorder="1" applyAlignment="1" applyProtection="1">
      <alignment horizontal="left" vertical="center" wrapText="1"/>
      <protection locked="0"/>
    </xf>
    <xf numFmtId="43" fontId="46" fillId="25" borderId="0" xfId="1" applyNumberFormat="1" applyFont="1" applyFill="1" applyBorder="1" applyAlignment="1">
      <alignment horizontal="left" vertical="center" wrapText="1"/>
    </xf>
    <xf numFmtId="43" fontId="73" fillId="35" borderId="1" xfId="1" applyNumberFormat="1" applyFont="1" applyFill="1" applyBorder="1" applyAlignment="1">
      <alignment horizontal="center" vertical="center"/>
    </xf>
    <xf numFmtId="165" fontId="46" fillId="35" borderId="1" xfId="1" applyNumberFormat="1" applyFont="1" applyFill="1" applyBorder="1" applyAlignment="1">
      <alignment horizontal="left" vertical="center" wrapText="1"/>
    </xf>
    <xf numFmtId="43" fontId="7" fillId="35" borderId="1" xfId="1" applyNumberFormat="1" applyFont="1" applyFill="1" applyBorder="1" applyAlignment="1">
      <alignment horizontal="left" vertical="center" wrapText="1"/>
    </xf>
    <xf numFmtId="0" fontId="56" fillId="25" borderId="0" xfId="73" applyFont="1" applyFill="1" applyBorder="1"/>
    <xf numFmtId="43" fontId="46" fillId="35" borderId="1" xfId="1" applyNumberFormat="1" applyFont="1" applyFill="1" applyBorder="1" applyAlignment="1">
      <alignment horizontal="left" vertical="center" wrapText="1"/>
    </xf>
    <xf numFmtId="43" fontId="88" fillId="35" borderId="1" xfId="1" applyNumberFormat="1" applyFont="1" applyFill="1" applyBorder="1" applyAlignment="1">
      <alignment horizontal="center" vertical="center"/>
    </xf>
    <xf numFmtId="43" fontId="88" fillId="6" borderId="1" xfId="1" applyNumberFormat="1" applyFont="1" applyFill="1" applyBorder="1" applyAlignment="1">
      <alignment horizontal="center" vertical="center"/>
    </xf>
    <xf numFmtId="0" fontId="19" fillId="19" borderId="0" xfId="73" applyFont="1" applyFill="1" applyBorder="1"/>
    <xf numFmtId="0" fontId="56" fillId="19" borderId="0" xfId="73" applyFont="1" applyFill="1" applyBorder="1"/>
    <xf numFmtId="43" fontId="69" fillId="36" borderId="1" xfId="1" applyNumberFormat="1" applyFont="1" applyFill="1" applyBorder="1" applyAlignment="1">
      <alignment horizontal="center" vertical="center"/>
    </xf>
    <xf numFmtId="43" fontId="76" fillId="36" borderId="1" xfId="1" applyNumberFormat="1" applyFont="1" applyFill="1" applyBorder="1" applyAlignment="1" applyProtection="1">
      <alignment horizontal="center" vertical="center" wrapText="1"/>
      <protection locked="0"/>
    </xf>
    <xf numFmtId="43" fontId="46" fillId="36" borderId="1" xfId="1" applyNumberFormat="1" applyFont="1" applyFill="1" applyBorder="1" applyAlignment="1">
      <alignment horizontal="left" vertical="center" wrapText="1"/>
    </xf>
    <xf numFmtId="44" fontId="45" fillId="36" borderId="1" xfId="1" applyNumberFormat="1" applyFont="1" applyFill="1" applyBorder="1" applyAlignment="1" applyProtection="1">
      <alignment horizontal="left" vertical="center" wrapText="1"/>
      <protection locked="0"/>
    </xf>
    <xf numFmtId="43" fontId="82" fillId="36" borderId="1" xfId="1" applyNumberFormat="1" applyFont="1" applyFill="1" applyBorder="1" applyAlignment="1">
      <alignment horizontal="center" vertical="center"/>
    </xf>
    <xf numFmtId="0" fontId="46" fillId="36" borderId="1" xfId="1" applyNumberFormat="1" applyFont="1" applyFill="1" applyBorder="1" applyAlignment="1">
      <alignment horizontal="left" vertical="center" wrapText="1"/>
    </xf>
    <xf numFmtId="43" fontId="71" fillId="36" borderId="1" xfId="1" applyNumberFormat="1" applyFont="1" applyFill="1" applyBorder="1" applyAlignment="1">
      <alignment vertical="center" wrapText="1"/>
    </xf>
    <xf numFmtId="43" fontId="71" fillId="36" borderId="1" xfId="1" applyNumberFormat="1" applyFont="1" applyFill="1" applyBorder="1" applyAlignment="1">
      <alignment horizontal="center" vertical="center" wrapText="1"/>
    </xf>
    <xf numFmtId="43" fontId="46" fillId="36" borderId="1" xfId="1" applyNumberFormat="1" applyFont="1" applyFill="1" applyBorder="1" applyAlignment="1" applyProtection="1">
      <alignment horizontal="center" vertical="center" wrapText="1"/>
      <protection locked="0"/>
    </xf>
    <xf numFmtId="43" fontId="70" fillId="36" borderId="1" xfId="1" applyNumberFormat="1" applyFont="1" applyFill="1" applyBorder="1" applyAlignment="1">
      <alignment horizontal="center" vertical="center" wrapText="1"/>
    </xf>
    <xf numFmtId="43" fontId="7" fillId="3" borderId="1" xfId="1" applyNumberFormat="1" applyFont="1" applyFill="1" applyBorder="1" applyAlignment="1">
      <alignment vertical="center" wrapText="1"/>
    </xf>
    <xf numFmtId="7" fontId="25" fillId="3" borderId="1" xfId="1" applyNumberFormat="1" applyFont="1" applyFill="1" applyBorder="1" applyAlignment="1" applyProtection="1">
      <alignment horizontal="left" vertical="center" wrapText="1"/>
      <protection locked="0"/>
    </xf>
    <xf numFmtId="165" fontId="90" fillId="13" borderId="1" xfId="1" applyNumberFormat="1" applyFont="1" applyFill="1" applyBorder="1" applyAlignment="1">
      <alignment vertical="center" wrapText="1"/>
    </xf>
    <xf numFmtId="165" fontId="90" fillId="34" borderId="1" xfId="1" applyNumberFormat="1" applyFont="1" applyFill="1" applyBorder="1" applyAlignment="1">
      <alignment vertical="center" wrapText="1"/>
    </xf>
    <xf numFmtId="165" fontId="90" fillId="25" borderId="1" xfId="1" applyNumberFormat="1" applyFont="1" applyFill="1" applyBorder="1" applyAlignment="1">
      <alignment vertical="center" wrapText="1"/>
    </xf>
    <xf numFmtId="165" fontId="90" fillId="3" borderId="1" xfId="1" applyNumberFormat="1" applyFont="1" applyFill="1" applyBorder="1" applyAlignment="1">
      <alignment vertical="center" wrapText="1"/>
    </xf>
    <xf numFmtId="1" fontId="91" fillId="0" borderId="0" xfId="0" applyNumberFormat="1" applyFont="1" applyAlignment="1">
      <alignment horizontal="center"/>
    </xf>
    <xf numFmtId="9" fontId="11" fillId="3" borderId="0" xfId="73" applyNumberFormat="1" applyFill="1"/>
    <xf numFmtId="171" fontId="20" fillId="3" borderId="0" xfId="0" applyNumberFormat="1" applyFont="1" applyFill="1" applyProtection="1">
      <protection locked="0"/>
    </xf>
    <xf numFmtId="43" fontId="49" fillId="3" borderId="0" xfId="1" applyNumberFormat="1" applyFont="1" applyFill="1" applyBorder="1" applyAlignment="1" applyProtection="1">
      <alignment horizontal="right" vertical="center" wrapText="1"/>
      <protection locked="0"/>
    </xf>
    <xf numFmtId="2" fontId="7" fillId="6" borderId="3" xfId="1" applyNumberFormat="1" applyFont="1" applyFill="1" applyBorder="1" applyAlignment="1">
      <alignment horizontal="left" vertical="center" wrapText="1"/>
    </xf>
    <xf numFmtId="1" fontId="7" fillId="6" borderId="3" xfId="1" applyNumberFormat="1" applyFont="1" applyFill="1" applyBorder="1" applyAlignment="1">
      <alignment horizontal="left" vertical="center" wrapText="1"/>
    </xf>
    <xf numFmtId="43" fontId="55" fillId="22" borderId="3" xfId="1" applyNumberFormat="1" applyFont="1" applyFill="1" applyBorder="1" applyAlignment="1">
      <alignment horizontal="left" vertical="center" wrapText="1"/>
    </xf>
    <xf numFmtId="43" fontId="7" fillId="37" borderId="3" xfId="1" applyNumberFormat="1" applyFont="1" applyFill="1" applyBorder="1" applyAlignment="1">
      <alignment horizontal="left" vertical="center" wrapText="1"/>
    </xf>
    <xf numFmtId="43" fontId="0" fillId="6" borderId="3" xfId="1" applyNumberFormat="1" applyFont="1" applyFill="1" applyBorder="1" applyAlignment="1">
      <alignment horizontal="left" vertical="center" wrapText="1"/>
    </xf>
    <xf numFmtId="0" fontId="97" fillId="3" borderId="0" xfId="0" applyFont="1" applyFill="1" applyBorder="1" applyAlignment="1"/>
    <xf numFmtId="0" fontId="97" fillId="17" borderId="3" xfId="0" applyFont="1" applyFill="1" applyBorder="1"/>
    <xf numFmtId="166" fontId="85" fillId="30" borderId="1" xfId="1" applyNumberFormat="1" applyFont="1" applyFill="1" applyBorder="1" applyAlignment="1">
      <alignment horizontal="left" vertical="center" wrapText="1"/>
    </xf>
    <xf numFmtId="165" fontId="96" fillId="13" borderId="1" xfId="1" applyNumberFormat="1" applyFont="1" applyFill="1" applyBorder="1" applyAlignment="1">
      <alignment vertical="center" wrapText="1"/>
    </xf>
    <xf numFmtId="1" fontId="97" fillId="0" borderId="1" xfId="0" applyNumberFormat="1" applyFont="1" applyBorder="1" applyAlignment="1">
      <alignment horizontal="center"/>
    </xf>
    <xf numFmtId="1" fontId="97" fillId="0" borderId="0" xfId="0" applyNumberFormat="1" applyFont="1" applyAlignment="1">
      <alignment horizontal="center"/>
    </xf>
    <xf numFmtId="7" fontId="2" fillId="3" borderId="35" xfId="1" applyNumberFormat="1" applyFont="1" applyFill="1" applyBorder="1" applyAlignment="1" applyProtection="1">
      <alignment horizontal="left" vertical="center" wrapText="1"/>
    </xf>
    <xf numFmtId="9" fontId="49" fillId="3" borderId="0" xfId="1" applyNumberFormat="1" applyFont="1" applyFill="1" applyBorder="1" applyAlignment="1" applyProtection="1">
      <alignment horizontal="right" vertical="center" wrapText="1"/>
      <protection locked="0"/>
    </xf>
    <xf numFmtId="43" fontId="9" fillId="6" borderId="3" xfId="1" applyNumberFormat="1" applyFont="1" applyFill="1" applyBorder="1" applyAlignment="1">
      <alignment horizontal="left" vertical="center" wrapText="1"/>
    </xf>
    <xf numFmtId="2" fontId="9" fillId="6" borderId="3" xfId="1" applyNumberFormat="1" applyFont="1" applyFill="1" applyBorder="1" applyAlignment="1">
      <alignment horizontal="left" vertical="center" wrapText="1"/>
    </xf>
    <xf numFmtId="1" fontId="9" fillId="6" borderId="3" xfId="1" applyNumberFormat="1" applyFont="1" applyFill="1" applyBorder="1" applyAlignment="1">
      <alignment horizontal="left" vertical="center" wrapText="1"/>
    </xf>
    <xf numFmtId="43" fontId="9" fillId="22" borderId="3" xfId="1" applyNumberFormat="1" applyFont="1" applyFill="1" applyBorder="1" applyAlignment="1">
      <alignment horizontal="left" vertical="center" wrapText="1"/>
    </xf>
    <xf numFmtId="43" fontId="9" fillId="37" borderId="3" xfId="1" applyNumberFormat="1" applyFont="1" applyFill="1" applyBorder="1" applyAlignment="1">
      <alignment horizontal="left" vertical="center" wrapText="1"/>
    </xf>
    <xf numFmtId="164" fontId="8" fillId="12" borderId="1" xfId="73" applyNumberFormat="1" applyFont="1" applyFill="1" applyBorder="1" applyAlignment="1">
      <alignment vertical="center"/>
    </xf>
    <xf numFmtId="0" fontId="100" fillId="0" borderId="0" xfId="0" applyFont="1" applyProtection="1">
      <protection locked="0"/>
    </xf>
    <xf numFmtId="0" fontId="101" fillId="8" borderId="0" xfId="3" applyFont="1" applyFill="1" applyBorder="1" applyAlignment="1" applyProtection="1">
      <alignment vertical="center"/>
      <protection locked="0"/>
    </xf>
    <xf numFmtId="0" fontId="81" fillId="3" borderId="10" xfId="0" applyFont="1" applyFill="1" applyBorder="1" applyAlignment="1" applyProtection="1">
      <alignment horizontal="right" vertical="center"/>
      <protection locked="0"/>
    </xf>
    <xf numFmtId="0" fontId="81" fillId="3" borderId="13" xfId="2" applyFont="1" applyFill="1" applyBorder="1" applyAlignment="1" applyProtection="1">
      <alignment horizontal="right" vertical="center"/>
      <protection locked="0"/>
    </xf>
    <xf numFmtId="0" fontId="81" fillId="3" borderId="15" xfId="2" applyFont="1" applyFill="1" applyBorder="1" applyAlignment="1" applyProtection="1">
      <alignment horizontal="right" vertical="center"/>
      <protection locked="0"/>
    </xf>
    <xf numFmtId="0" fontId="81" fillId="3" borderId="10" xfId="0" applyFont="1" applyFill="1" applyBorder="1" applyAlignment="1" applyProtection="1">
      <alignment vertical="center"/>
      <protection locked="0"/>
    </xf>
    <xf numFmtId="167" fontId="81" fillId="3" borderId="13" xfId="0" applyNumberFormat="1" applyFont="1" applyFill="1" applyBorder="1" applyAlignment="1" applyProtection="1">
      <alignment vertical="center"/>
      <protection locked="0"/>
    </xf>
    <xf numFmtId="9" fontId="81" fillId="3" borderId="13" xfId="0" applyNumberFormat="1" applyFont="1" applyFill="1" applyBorder="1" applyAlignment="1" applyProtection="1">
      <alignment vertical="center"/>
      <protection locked="0"/>
    </xf>
    <xf numFmtId="0" fontId="81" fillId="3" borderId="15" xfId="0" applyFont="1" applyFill="1" applyBorder="1" applyAlignment="1" applyProtection="1">
      <alignment horizontal="center" vertical="center"/>
      <protection locked="0"/>
    </xf>
    <xf numFmtId="0" fontId="81" fillId="3" borderId="0" xfId="0" applyFont="1" applyFill="1" applyBorder="1" applyAlignment="1" applyProtection="1">
      <alignment horizontal="center" vertical="center"/>
      <protection locked="0"/>
    </xf>
    <xf numFmtId="0" fontId="81" fillId="4" borderId="18" xfId="0" applyFont="1" applyFill="1" applyBorder="1" applyAlignment="1" applyProtection="1">
      <alignment vertical="center"/>
      <protection locked="0"/>
    </xf>
    <xf numFmtId="0" fontId="100" fillId="3" borderId="0" xfId="73" applyFont="1" applyFill="1" applyProtection="1">
      <protection locked="0"/>
    </xf>
    <xf numFmtId="0" fontId="95" fillId="3" borderId="0" xfId="73" applyFont="1" applyFill="1" applyProtection="1">
      <protection locked="0"/>
    </xf>
    <xf numFmtId="43" fontId="81" fillId="5" borderId="13" xfId="1" applyNumberFormat="1" applyFont="1" applyFill="1" applyBorder="1" applyAlignment="1" applyProtection="1">
      <alignment horizontal="left" vertical="center" wrapText="1"/>
      <protection locked="0"/>
    </xf>
    <xf numFmtId="0" fontId="100" fillId="3" borderId="0" xfId="0" applyFont="1" applyFill="1" applyBorder="1" applyProtection="1">
      <protection locked="0"/>
    </xf>
    <xf numFmtId="0" fontId="95" fillId="3" borderId="0" xfId="0" applyFont="1" applyFill="1" applyProtection="1">
      <protection locked="0"/>
    </xf>
    <xf numFmtId="0" fontId="95" fillId="3" borderId="10" xfId="0" applyFont="1" applyFill="1" applyBorder="1" applyProtection="1">
      <protection locked="0"/>
    </xf>
    <xf numFmtId="0" fontId="95" fillId="3" borderId="13" xfId="0" applyFont="1" applyFill="1" applyBorder="1" applyProtection="1">
      <protection locked="0"/>
    </xf>
    <xf numFmtId="0" fontId="95" fillId="3" borderId="15" xfId="0" applyFont="1" applyFill="1" applyBorder="1" applyProtection="1">
      <protection locked="0"/>
    </xf>
    <xf numFmtId="0" fontId="102" fillId="3" borderId="0" xfId="0" applyFont="1" applyFill="1" applyAlignment="1" applyProtection="1">
      <protection locked="0"/>
    </xf>
    <xf numFmtId="0" fontId="2" fillId="13" borderId="0" xfId="0" applyFont="1" applyFill="1"/>
    <xf numFmtId="0" fontId="41" fillId="13" borderId="3" xfId="0" applyFont="1" applyFill="1" applyBorder="1"/>
    <xf numFmtId="43" fontId="5" fillId="30" borderId="1" xfId="1" applyNumberFormat="1" applyFont="1" applyFill="1" applyBorder="1" applyAlignment="1">
      <alignment horizontal="left" vertical="center" wrapText="1"/>
    </xf>
    <xf numFmtId="167" fontId="96" fillId="30" borderId="1" xfId="1" applyNumberFormat="1" applyFont="1" applyFill="1" applyBorder="1" applyAlignment="1">
      <alignment horizontal="left" vertical="center" wrapText="1"/>
    </xf>
    <xf numFmtId="43" fontId="96" fillId="30" borderId="1" xfId="1" applyNumberFormat="1" applyFont="1" applyFill="1" applyBorder="1" applyAlignment="1">
      <alignment horizontal="left" vertical="center" wrapText="1"/>
    </xf>
    <xf numFmtId="1" fontId="98" fillId="13" borderId="1" xfId="0" applyNumberFormat="1" applyFont="1" applyFill="1" applyBorder="1" applyAlignment="1">
      <alignment horizontal="center" wrapText="1"/>
    </xf>
    <xf numFmtId="0" fontId="41" fillId="13" borderId="0" xfId="0" applyFont="1" applyFill="1" applyBorder="1"/>
    <xf numFmtId="0" fontId="9" fillId="13" borderId="0" xfId="0" applyFont="1" applyFill="1"/>
    <xf numFmtId="0" fontId="20" fillId="13" borderId="0" xfId="0" applyFont="1" applyFill="1"/>
    <xf numFmtId="0" fontId="79" fillId="13" borderId="0" xfId="0" applyFont="1" applyFill="1"/>
    <xf numFmtId="43" fontId="6" fillId="30" borderId="1" xfId="1" applyNumberFormat="1" applyFont="1" applyFill="1" applyBorder="1" applyAlignment="1">
      <alignment horizontal="left" vertical="center" wrapText="1"/>
    </xf>
    <xf numFmtId="165" fontId="84" fillId="30" borderId="1" xfId="1" applyNumberFormat="1" applyFont="1" applyFill="1" applyBorder="1" applyAlignment="1">
      <alignment horizontal="left" vertical="center" wrapText="1"/>
    </xf>
    <xf numFmtId="165" fontId="96" fillId="30" borderId="1" xfId="1" applyNumberFormat="1" applyFont="1" applyFill="1" applyBorder="1" applyAlignment="1">
      <alignment horizontal="left" vertical="center" wrapText="1"/>
    </xf>
    <xf numFmtId="165" fontId="80" fillId="13" borderId="1" xfId="1" applyNumberFormat="1" applyFont="1" applyFill="1" applyBorder="1" applyAlignment="1">
      <alignment horizontal="left" vertical="center" wrapText="1"/>
    </xf>
    <xf numFmtId="43" fontId="24" fillId="30" borderId="1" xfId="1" applyNumberFormat="1" applyFont="1" applyFill="1" applyBorder="1" applyAlignment="1">
      <alignment horizontal="left" vertical="center" wrapText="1"/>
    </xf>
    <xf numFmtId="165" fontId="60" fillId="13" borderId="1" xfId="1" applyNumberFormat="1" applyFont="1" applyFill="1" applyBorder="1" applyAlignment="1">
      <alignment horizontal="left" vertical="center" wrapText="1"/>
    </xf>
    <xf numFmtId="43" fontId="5" fillId="13" borderId="1" xfId="1" applyNumberFormat="1" applyFont="1" applyFill="1" applyBorder="1" applyAlignment="1">
      <alignment horizontal="left" vertical="center" wrapText="1"/>
    </xf>
    <xf numFmtId="165" fontId="96" fillId="13" borderId="1" xfId="1" applyNumberFormat="1" applyFont="1" applyFill="1" applyBorder="1" applyAlignment="1">
      <alignment horizontal="left" vertical="center" wrapText="1"/>
    </xf>
    <xf numFmtId="165" fontId="60" fillId="13" borderId="0" xfId="1" applyNumberFormat="1" applyFont="1" applyFill="1" applyBorder="1" applyAlignment="1">
      <alignment horizontal="left" vertical="center" wrapText="1"/>
    </xf>
    <xf numFmtId="43" fontId="5" fillId="30" borderId="0" xfId="1" applyNumberFormat="1" applyFont="1" applyFill="1" applyBorder="1" applyAlignment="1">
      <alignment horizontal="left" vertical="center" wrapText="1"/>
    </xf>
    <xf numFmtId="43" fontId="57" fillId="30" borderId="1" xfId="1" applyNumberFormat="1" applyFont="1" applyFill="1" applyBorder="1" applyAlignment="1">
      <alignment horizontal="left" vertical="center" wrapText="1"/>
    </xf>
    <xf numFmtId="0" fontId="60" fillId="13" borderId="0" xfId="0" applyFont="1" applyFill="1"/>
    <xf numFmtId="43" fontId="3" fillId="30" borderId="1" xfId="1" applyNumberFormat="1" applyFont="1" applyFill="1" applyBorder="1" applyAlignment="1">
      <alignment horizontal="left" vertical="center" wrapText="1"/>
    </xf>
    <xf numFmtId="165" fontId="97" fillId="30" borderId="1" xfId="1" applyNumberFormat="1" applyFont="1" applyFill="1" applyBorder="1" applyAlignment="1">
      <alignment horizontal="left" vertical="center" wrapText="1"/>
    </xf>
    <xf numFmtId="1" fontId="97" fillId="13" borderId="1" xfId="0" applyNumberFormat="1" applyFont="1" applyFill="1" applyBorder="1" applyAlignment="1">
      <alignment horizontal="center"/>
    </xf>
    <xf numFmtId="16" fontId="60" fillId="13" borderId="0" xfId="0" applyNumberFormat="1" applyFont="1" applyFill="1" applyBorder="1"/>
    <xf numFmtId="0" fontId="23" fillId="13" borderId="0" xfId="0" applyFont="1" applyFill="1"/>
    <xf numFmtId="165" fontId="35" fillId="30" borderId="1" xfId="1" applyNumberFormat="1" applyFont="1" applyFill="1" applyBorder="1" applyAlignment="1">
      <alignment horizontal="left" vertical="center" wrapText="1"/>
    </xf>
    <xf numFmtId="165" fontId="5" fillId="30" borderId="1" xfId="1" applyNumberFormat="1" applyFont="1" applyFill="1" applyBorder="1" applyAlignment="1">
      <alignment horizontal="left" vertical="center" wrapText="1"/>
    </xf>
    <xf numFmtId="165" fontId="57" fillId="30" borderId="1" xfId="1" applyNumberFormat="1" applyFont="1" applyFill="1" applyBorder="1" applyAlignment="1">
      <alignment horizontal="left" vertical="center" wrapText="1"/>
    </xf>
    <xf numFmtId="0" fontId="11" fillId="13" borderId="1" xfId="73" applyFont="1" applyFill="1" applyBorder="1" applyAlignment="1">
      <alignment wrapText="1"/>
    </xf>
    <xf numFmtId="0" fontId="11" fillId="13" borderId="21" xfId="73" applyFont="1" applyFill="1" applyBorder="1" applyAlignment="1">
      <alignment wrapText="1"/>
    </xf>
    <xf numFmtId="0" fontId="11" fillId="13" borderId="0" xfId="73" applyFont="1" applyFill="1" applyBorder="1" applyAlignment="1">
      <alignment wrapText="1"/>
    </xf>
    <xf numFmtId="165" fontId="35" fillId="30" borderId="0" xfId="1" applyNumberFormat="1" applyFont="1" applyFill="1" applyBorder="1" applyAlignment="1">
      <alignment horizontal="left" vertical="center" wrapText="1"/>
    </xf>
    <xf numFmtId="0" fontId="23" fillId="13" borderId="0" xfId="0" applyFont="1" applyFill="1" applyAlignment="1">
      <alignment wrapText="1"/>
    </xf>
    <xf numFmtId="43" fontId="43" fillId="30" borderId="1" xfId="1" applyNumberFormat="1" applyFont="1" applyFill="1" applyBorder="1" applyAlignment="1">
      <alignment horizontal="left" vertical="center" wrapText="1"/>
    </xf>
    <xf numFmtId="165" fontId="7" fillId="30" borderId="1" xfId="1" applyNumberFormat="1" applyFont="1" applyFill="1" applyBorder="1" applyAlignment="1">
      <alignment horizontal="left" vertical="center" wrapText="1"/>
    </xf>
    <xf numFmtId="0" fontId="74" fillId="13" borderId="0" xfId="0" applyFont="1" applyFill="1"/>
    <xf numFmtId="0" fontId="99" fillId="13" borderId="0" xfId="0" applyFont="1" applyFill="1"/>
    <xf numFmtId="43" fontId="7" fillId="30" borderId="1" xfId="1" applyNumberFormat="1" applyFont="1" applyFill="1" applyBorder="1" applyAlignment="1">
      <alignment horizontal="left" vertical="center" wrapText="1"/>
    </xf>
    <xf numFmtId="43" fontId="96" fillId="30" borderId="3" xfId="1" applyNumberFormat="1" applyFont="1" applyFill="1" applyBorder="1" applyAlignment="1">
      <alignment horizontal="left" vertical="center" wrapText="1"/>
    </xf>
    <xf numFmtId="43" fontId="57" fillId="30" borderId="3" xfId="1" applyNumberFormat="1" applyFont="1" applyFill="1" applyBorder="1" applyAlignment="1">
      <alignment horizontal="left" vertical="center" wrapText="1"/>
    </xf>
    <xf numFmtId="165" fontId="60" fillId="4" borderId="1" xfId="1" applyNumberFormat="1" applyFont="1" applyFill="1" applyBorder="1" applyAlignment="1">
      <alignment horizontal="left" vertical="center" wrapText="1"/>
    </xf>
    <xf numFmtId="1" fontId="5" fillId="5" borderId="16" xfId="1" applyNumberFormat="1" applyFont="1" applyFill="1" applyBorder="1" applyAlignment="1" applyProtection="1">
      <alignment horizontal="center" vertical="center" wrapText="1"/>
    </xf>
    <xf numFmtId="1" fontId="5" fillId="5" borderId="17" xfId="1" applyNumberFormat="1" applyFont="1" applyFill="1" applyBorder="1" applyAlignment="1" applyProtection="1">
      <alignment horizontal="center" vertical="center" wrapText="1"/>
    </xf>
    <xf numFmtId="43" fontId="62" fillId="5" borderId="0" xfId="1" applyNumberFormat="1" applyFont="1" applyFill="1" applyBorder="1" applyAlignment="1" applyProtection="1">
      <alignment horizontal="center" vertical="center" wrapText="1"/>
      <protection locked="0"/>
    </xf>
    <xf numFmtId="43" fontId="24" fillId="3" borderId="0" xfId="1" applyNumberFormat="1" applyFont="1" applyFill="1" applyBorder="1" applyAlignment="1" applyProtection="1">
      <alignment horizontal="left" vertical="center" wrapText="1"/>
      <protection locked="0"/>
    </xf>
    <xf numFmtId="43" fontId="24" fillId="5" borderId="18" xfId="1" applyNumberFormat="1" applyFont="1" applyFill="1" applyBorder="1" applyAlignment="1" applyProtection="1">
      <alignment horizontal="left" vertical="center" wrapText="1"/>
      <protection locked="0"/>
    </xf>
    <xf numFmtId="43" fontId="24" fillId="5" borderId="20" xfId="1" applyNumberFormat="1" applyFont="1" applyFill="1" applyBorder="1" applyAlignment="1" applyProtection="1">
      <alignment horizontal="left" vertical="center" wrapText="1"/>
      <protection locked="0"/>
    </xf>
    <xf numFmtId="0" fontId="13" fillId="7" borderId="0" xfId="0" applyFont="1" applyFill="1" applyBorder="1" applyAlignment="1" applyProtection="1">
      <alignment horizontal="center" vertical="center" wrapText="1"/>
      <protection locked="0"/>
    </xf>
    <xf numFmtId="0" fontId="15" fillId="8" borderId="0" xfId="2" applyFont="1" applyFill="1" applyBorder="1" applyAlignment="1" applyProtection="1">
      <alignment horizontal="center" vertical="center"/>
      <protection locked="0"/>
    </xf>
    <xf numFmtId="0" fontId="17" fillId="8" borderId="0" xfId="3" applyFont="1" applyFill="1" applyBorder="1" applyAlignment="1" applyProtection="1">
      <alignment horizontal="center" vertical="center"/>
      <protection locked="0"/>
    </xf>
    <xf numFmtId="0" fontId="18" fillId="8" borderId="0" xfId="2" applyFont="1" applyFill="1" applyBorder="1" applyAlignment="1" applyProtection="1">
      <alignment horizontal="center" vertical="center"/>
      <protection locked="0"/>
    </xf>
    <xf numFmtId="0" fontId="35" fillId="3" borderId="11" xfId="2" applyFont="1" applyFill="1" applyBorder="1" applyAlignment="1" applyProtection="1">
      <alignment horizontal="center" vertical="center"/>
      <protection locked="0"/>
    </xf>
    <xf numFmtId="0" fontId="5" fillId="3" borderId="0" xfId="0" applyFont="1" applyFill="1" applyBorder="1" applyAlignment="1" applyProtection="1">
      <alignment horizontal="left" vertical="center"/>
      <protection locked="0"/>
    </xf>
    <xf numFmtId="0" fontId="16" fillId="3" borderId="0" xfId="3" applyFill="1" applyBorder="1" applyAlignment="1" applyProtection="1">
      <alignment horizontal="left" vertical="center"/>
      <protection locked="0"/>
    </xf>
    <xf numFmtId="0" fontId="35" fillId="3" borderId="14" xfId="2" applyFont="1" applyFill="1" applyBorder="1" applyAlignment="1" applyProtection="1">
      <alignment horizontal="left" vertical="center"/>
      <protection locked="0"/>
    </xf>
    <xf numFmtId="0" fontId="24" fillId="3" borderId="0" xfId="0" applyFont="1" applyFill="1" applyBorder="1" applyAlignment="1" applyProtection="1">
      <alignment horizontal="center" vertical="center" wrapText="1"/>
      <protection locked="0"/>
    </xf>
    <xf numFmtId="0" fontId="0" fillId="0" borderId="0" xfId="0" applyAlignment="1">
      <alignment horizontal="center" vertical="center" wrapText="1"/>
    </xf>
    <xf numFmtId="0" fontId="0" fillId="0" borderId="14" xfId="0" applyBorder="1" applyAlignment="1">
      <alignment horizontal="center" vertical="center" wrapText="1"/>
    </xf>
    <xf numFmtId="43" fontId="49" fillId="3" borderId="0" xfId="1" applyNumberFormat="1" applyFont="1" applyFill="1" applyBorder="1" applyAlignment="1" applyProtection="1">
      <alignment horizontal="right" vertical="center" wrapText="1"/>
      <protection locked="0"/>
    </xf>
    <xf numFmtId="7" fontId="25" fillId="3" borderId="0" xfId="1" applyNumberFormat="1" applyFont="1" applyFill="1" applyBorder="1" applyAlignment="1" applyProtection="1">
      <alignment horizontal="center" vertical="center" wrapText="1"/>
      <protection locked="0"/>
    </xf>
    <xf numFmtId="7" fontId="25" fillId="3" borderId="14" xfId="1" applyNumberFormat="1" applyFont="1" applyFill="1" applyBorder="1" applyAlignment="1" applyProtection="1">
      <alignment horizontal="center" vertical="center" wrapText="1"/>
      <protection locked="0"/>
    </xf>
    <xf numFmtId="0" fontId="87" fillId="3" borderId="0" xfId="0" applyFont="1" applyFill="1" applyBorder="1" applyAlignment="1">
      <alignment horizontal="center"/>
    </xf>
  </cellXfs>
  <cellStyles count="135">
    <cellStyle name="40% - Énfasis5 2" xfId="62"/>
    <cellStyle name="40% - Énfasis5 2 2" xfId="63"/>
    <cellStyle name="40% - Énfasis5 2 2 2" xfId="74"/>
    <cellStyle name="40% - Énfasis5 2 2 3" xfId="75"/>
    <cellStyle name="40% - Énfasis5 2 2 4" xfId="76"/>
    <cellStyle name="40% - Énfasis5 2 2 5" xfId="77"/>
    <cellStyle name="40% - Énfasis5 2 2 6" xfId="78"/>
    <cellStyle name="40% - Énfasis5 2 2 7" xfId="79"/>
    <cellStyle name="40% - Énfasis5 2 3" xfId="80"/>
    <cellStyle name="40% - Énfasis5 2 4" xfId="81"/>
    <cellStyle name="40% - Énfasis5 2 5" xfId="82"/>
    <cellStyle name="40% - Énfasis5 2 6" xfId="83"/>
    <cellStyle name="40% - Énfasis5 2 7" xfId="84"/>
    <cellStyle name="40% - Énfasis5 2 8" xfId="85"/>
    <cellStyle name="Euro" xfId="4"/>
    <cellStyle name="Hipervínculo" xfId="3" builtinId="8"/>
    <cellStyle name="Millares 2" xfId="5"/>
    <cellStyle name="Millares 2 2" xfId="6"/>
    <cellStyle name="Millares 2 3" xfId="64"/>
    <cellStyle name="Millares 2 4" xfId="86"/>
    <cellStyle name="Millares 2 5" xfId="87"/>
    <cellStyle name="Millares 2 6" xfId="88"/>
    <cellStyle name="Millares 2 7" xfId="89"/>
    <cellStyle name="Millares 3" xfId="1"/>
    <cellStyle name="Moneda 2" xfId="7"/>
    <cellStyle name="Moneda 2 2" xfId="8"/>
    <cellStyle name="Moneda 2 3" xfId="65"/>
    <cellStyle name="Moneda 2 4" xfId="90"/>
    <cellStyle name="Moneda 2 5" xfId="91"/>
    <cellStyle name="Moneda 2 6" xfId="92"/>
    <cellStyle name="Moneda 2 7" xfId="93"/>
    <cellStyle name="Normal" xfId="0" builtinId="0"/>
    <cellStyle name="Normal 10" xfId="9"/>
    <cellStyle name="Normal 11" xfId="10"/>
    <cellStyle name="Normal 12" xfId="11"/>
    <cellStyle name="Normal 13" xfId="12"/>
    <cellStyle name="Normal 14" xfId="13"/>
    <cellStyle name="Normal 15" xfId="14"/>
    <cellStyle name="Normal 16" xfId="15"/>
    <cellStyle name="Normal 17" xfId="16"/>
    <cellStyle name="Normal 18" xfId="17"/>
    <cellStyle name="Normal 19" xfId="18"/>
    <cellStyle name="Normal 2" xfId="2"/>
    <cellStyle name="Normal 2 10" xfId="19"/>
    <cellStyle name="Normal 2 11" xfId="20"/>
    <cellStyle name="Normal 2 12" xfId="21"/>
    <cellStyle name="Normal 2 13" xfId="22"/>
    <cellStyle name="Normal 2 14" xfId="23"/>
    <cellStyle name="Normal 2 15" xfId="24"/>
    <cellStyle name="Normal 2 16" xfId="25"/>
    <cellStyle name="Normal 2 17" xfId="26"/>
    <cellStyle name="Normal 2 18" xfId="27"/>
    <cellStyle name="Normal 2 19" xfId="28"/>
    <cellStyle name="Normal 2 2" xfId="29"/>
    <cellStyle name="Normal 2 2 2" xfId="30"/>
    <cellStyle name="Normal 2 20" xfId="31"/>
    <cellStyle name="Normal 2 21" xfId="32"/>
    <cellStyle name="Normal 2 22" xfId="33"/>
    <cellStyle name="Normal 2 23" xfId="34"/>
    <cellStyle name="Normal 2 24" xfId="35"/>
    <cellStyle name="Normal 2 25" xfId="36"/>
    <cellStyle name="Normal 2 26" xfId="66"/>
    <cellStyle name="Normal 2 3" xfId="37"/>
    <cellStyle name="Normal 2 3 2" xfId="38"/>
    <cellStyle name="Normal 2 4" xfId="39"/>
    <cellStyle name="Normal 2 5" xfId="40"/>
    <cellStyle name="Normal 2 6" xfId="41"/>
    <cellStyle name="Normal 2 7" xfId="42"/>
    <cellStyle name="Normal 2 8" xfId="43"/>
    <cellStyle name="Normal 2 9" xfId="44"/>
    <cellStyle name="Normal 20" xfId="45"/>
    <cellStyle name="Normal 21" xfId="46"/>
    <cellStyle name="Normal 22" xfId="47"/>
    <cellStyle name="Normal 23" xfId="48"/>
    <cellStyle name="Normal 24" xfId="49"/>
    <cellStyle name="Normal 25" xfId="50"/>
    <cellStyle name="Normal 3" xfId="51"/>
    <cellStyle name="Normal 3 2" xfId="52"/>
    <cellStyle name="Normal 3 3" xfId="67"/>
    <cellStyle name="Normal 3 4" xfId="94"/>
    <cellStyle name="Normal 3 5" xfId="95"/>
    <cellStyle name="Normal 3 6" xfId="96"/>
    <cellStyle name="Normal 3 7" xfId="97"/>
    <cellStyle name="Normal 4" xfId="53"/>
    <cellStyle name="Normal 4 2" xfId="73"/>
    <cellStyle name="Normal 4 2 2" xfId="98"/>
    <cellStyle name="Normal 4 2 3" xfId="99"/>
    <cellStyle name="Normal 4 2 3 2" xfId="100"/>
    <cellStyle name="Normal 4 2 3 3" xfId="101"/>
    <cellStyle name="Normal 4 2 3 4" xfId="102"/>
    <cellStyle name="Normal 4 2 3 5" xfId="103"/>
    <cellStyle name="Normal 4 2 4" xfId="104"/>
    <cellStyle name="Normal 4 2 5" xfId="105"/>
    <cellStyle name="Normal 4 2 6" xfId="106"/>
    <cellStyle name="Normal 4 2 7" xfId="107"/>
    <cellStyle name="Normal 4 3" xfId="61"/>
    <cellStyle name="Normal 4 4" xfId="108"/>
    <cellStyle name="Normal 4 5" xfId="109"/>
    <cellStyle name="Normal 4 6" xfId="110"/>
    <cellStyle name="Normal 4 7" xfId="111"/>
    <cellStyle name="Normal 4 8" xfId="112"/>
    <cellStyle name="Normal 5" xfId="54"/>
    <cellStyle name="Normal 5 2" xfId="68"/>
    <cellStyle name="Normal 6" xfId="55"/>
    <cellStyle name="Normal 6 2" xfId="70"/>
    <cellStyle name="Normal 6 2 2" xfId="113"/>
    <cellStyle name="Normal 6 2 3" xfId="114"/>
    <cellStyle name="Normal 6 2 4" xfId="115"/>
    <cellStyle name="Normal 6 2 5" xfId="116"/>
    <cellStyle name="Normal 6 2 6" xfId="117"/>
    <cellStyle name="Normal 6 2 7" xfId="118"/>
    <cellStyle name="Normal 6 3" xfId="69"/>
    <cellStyle name="Normal 6 4" xfId="119"/>
    <cellStyle name="Normal 6 5" xfId="120"/>
    <cellStyle name="Normal 6 6" xfId="121"/>
    <cellStyle name="Normal 6 7" xfId="122"/>
    <cellStyle name="Normal 6 8" xfId="123"/>
    <cellStyle name="Normal 7" xfId="56"/>
    <cellStyle name="Normal 7 2" xfId="60"/>
    <cellStyle name="Normal 8" xfId="57"/>
    <cellStyle name="Normal 9" xfId="58"/>
    <cellStyle name="Porcentaje 2" xfId="59"/>
    <cellStyle name="Porcentaje 2 2" xfId="71"/>
    <cellStyle name="Porcentaje 2 3" xfId="124"/>
    <cellStyle name="Porcentaje 2 4" xfId="125"/>
    <cellStyle name="Porcentaje 2 5" xfId="126"/>
    <cellStyle name="Porcentaje 2 6" xfId="127"/>
    <cellStyle name="Porcentaje 2 7" xfId="128"/>
    <cellStyle name="Porcentaje 3" xfId="72"/>
    <cellStyle name="Porcentaje 3 2" xfId="129"/>
    <cellStyle name="Porcentaje 3 3" xfId="130"/>
    <cellStyle name="Porcentaje 3 4" xfId="131"/>
    <cellStyle name="Porcentaje 3 5" xfId="132"/>
    <cellStyle name="Porcentaje 3 6" xfId="133"/>
    <cellStyle name="Porcentaje 3 7" xfId="134"/>
  </cellStyles>
  <dxfs count="3">
    <dxf>
      <numFmt numFmtId="0" formatCode="General"/>
    </dxf>
    <dxf>
      <numFmt numFmtId="11" formatCode="&quot;$&quot;#,##0.00;\-&quot;$&quot;#,##0.00"/>
    </dxf>
    <dxf>
      <numFmt numFmtId="13" formatCode="0%"/>
      <fill>
        <patternFill patternType="solid">
          <fgColor indexed="64"/>
          <bgColor theme="0"/>
        </patternFill>
      </fill>
    </dxf>
  </dxfs>
  <tableStyles count="0" defaultTableStyle="TableStyleMedium9" defaultPivotStyle="PivotStyleLight16"/>
  <colors>
    <mruColors>
      <color rgb="FFEABD00"/>
      <color rgb="FF66FF33"/>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externalLink" Target="externalLinks/externalLink4.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http://www.conermex.com.mx/files/file/HojasTecnicas/Inversores-Interconexion-a-Red/comcard.pdf" TargetMode="External"/><Relationship Id="rId13" Type="http://schemas.openxmlformats.org/officeDocument/2006/relationships/hyperlink" Target="http://www.conermex.com.mx/files/file/HojasTecnicas/02_ControladoresDeCarga/la-302-dc_ac.pdf" TargetMode="External"/><Relationship Id="rId18" Type="http://schemas.openxmlformats.org/officeDocument/2006/relationships/hyperlink" Target="http://www.conermex.com.mx/files/file/HojasTecnicas/01_Modulos/ps-260-rv010616.pdf" TargetMode="External"/><Relationship Id="rId3" Type="http://schemas.openxmlformats.org/officeDocument/2006/relationships/image" Target="../media/image2.png"/><Relationship Id="rId7" Type="http://schemas.openxmlformats.org/officeDocument/2006/relationships/hyperlink" Target="http://www.conermex.com.mx/files/file/HojasTecnicas/Inversores-Interconexion-a-Red/igp_10.0-1_12.0-3.pdf" TargetMode="External"/><Relationship Id="rId12" Type="http://schemas.openxmlformats.org/officeDocument/2006/relationships/hyperlink" Target="http://www.conermex.com.mx/files/file/HojasTecnicas/Equipos,%20accesorios%20y%20Herramientas/medidor_tenmars206.pdf" TargetMode="External"/><Relationship Id="rId17" Type="http://schemas.openxmlformats.org/officeDocument/2006/relationships/hyperlink" Target="http://www.conermex.com.mx/files/file/HojasTecnicas/01_Modulos/ps-250p.pdf" TargetMode="External"/><Relationship Id="rId2" Type="http://schemas.openxmlformats.org/officeDocument/2006/relationships/hyperlink" Target="http://www.conermex.com.mx/files/file/HojasTecnicas/Inversores-Interconexion-a-Red/zvs-1500_2000_3000_5000.pdf" TargetMode="External"/><Relationship Id="rId16" Type="http://schemas.openxmlformats.org/officeDocument/2006/relationships/hyperlink" Target="http://www.conermex.com.mx/files/file/HojasTecnicas/01_Modulos/sw-295-rv080616.pdf" TargetMode="External"/><Relationship Id="rId20" Type="http://schemas.openxmlformats.org/officeDocument/2006/relationships/hyperlink" Target="http://www.conermex.com.mx/files/file/HojasTecnicas/Inversores-Interconexion-a-Red/en-k215.pdf" TargetMode="External"/><Relationship Id="rId1" Type="http://schemas.openxmlformats.org/officeDocument/2006/relationships/image" Target="../media/image1.png"/><Relationship Id="rId6" Type="http://schemas.openxmlformats.org/officeDocument/2006/relationships/hyperlink" Target="http://www.conermex.com.mx/files/file/HojasTecnicas/Inversores-Interconexion-a-Red/igp_5.0_6.0_7.5.pdf" TargetMode="External"/><Relationship Id="rId11" Type="http://schemas.openxmlformats.org/officeDocument/2006/relationships/hyperlink" Target="http://www.conermex.com.mx/files/file/HojasTecnicas/Equipos,%20accesorios%20y%20Herramientas/mc4-y-m_mc4-y-h.pdf" TargetMode="External"/><Relationship Id="rId5" Type="http://schemas.openxmlformats.org/officeDocument/2006/relationships/hyperlink" Target="http://www.conermex.com.mx/files/file/HojasTecnicas/Inversores-Interconexion-a-Red/igp_3.0_3.8.pdf" TargetMode="External"/><Relationship Id="rId15" Type="http://schemas.openxmlformats.org/officeDocument/2006/relationships/hyperlink" Target="http://www.conermex.com.mx/files/file/HojasTecnicas/01_Modulos/sw-275_mono.pdf" TargetMode="External"/><Relationship Id="rId10" Type="http://schemas.openxmlformats.org/officeDocument/2006/relationships/hyperlink" Target="http://www.conermex.com.mx/files/file/HojasTecnicas/Equipos,%20accesorios%20y%20Herramientas/mc4-m_mc4-h.pdf" TargetMode="External"/><Relationship Id="rId19" Type="http://schemas.openxmlformats.org/officeDocument/2006/relationships/hyperlink" Target="http://www.conermex.com.mx/files/file/HojasTecnicas/Inversores-Interconexion-a-Red/en-215.pdf" TargetMode="External"/><Relationship Id="rId4" Type="http://schemas.openxmlformats.org/officeDocument/2006/relationships/hyperlink" Target="http://www.conermex.com.mx/files/file/HojasTecnicas/Inversores-Interconexion-a-Red/ig_2000_3000_4000_5100.pdf" TargetMode="External"/><Relationship Id="rId9" Type="http://schemas.openxmlformats.org/officeDocument/2006/relationships/hyperlink" Target="http://www.conermex.com.mx/files/file/HojasTecnicas/Inversores-Interconexion-a-Red/datamanager.pdf" TargetMode="External"/><Relationship Id="rId14" Type="http://schemas.openxmlformats.org/officeDocument/2006/relationships/hyperlink" Target="http://www.conermex.com.mx/files/file/HojasTecnicas/01_Modulos/sw-250.pdf"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8" Type="http://schemas.openxmlformats.org/officeDocument/2006/relationships/hyperlink" Target="http://www.conermex.com.mx/files/file/HojasTecnicas/Inversores-Interconexion-a-Red/comcard.pdf" TargetMode="External"/><Relationship Id="rId13" Type="http://schemas.openxmlformats.org/officeDocument/2006/relationships/hyperlink" Target="http://www.conermex.com.mx/files/file/HojasTecnicas/02_ControladoresDeCarga/la-302-dc_ac.pdf" TargetMode="External"/><Relationship Id="rId18" Type="http://schemas.openxmlformats.org/officeDocument/2006/relationships/hyperlink" Target="http://www.conermex.com.mx/files/file/HojasTecnicas/01_Modulos/ps-260-rv010616.pdf" TargetMode="External"/><Relationship Id="rId3" Type="http://schemas.openxmlformats.org/officeDocument/2006/relationships/image" Target="../media/image2.png"/><Relationship Id="rId7" Type="http://schemas.openxmlformats.org/officeDocument/2006/relationships/hyperlink" Target="http://www.conermex.com.mx/files/file/HojasTecnicas/Inversores-Interconexion-a-Red/igp_10.0-1_12.0-3.pdf" TargetMode="External"/><Relationship Id="rId12" Type="http://schemas.openxmlformats.org/officeDocument/2006/relationships/hyperlink" Target="http://www.conermex.com.mx/files/file/HojasTecnicas/Equipos,%20accesorios%20y%20Herramientas/medidor_tenmars206.pdf" TargetMode="External"/><Relationship Id="rId17" Type="http://schemas.openxmlformats.org/officeDocument/2006/relationships/hyperlink" Target="http://www.conermex.com.mx/files/file/HojasTecnicas/01_Modulos/ps-250p.pdf" TargetMode="External"/><Relationship Id="rId2" Type="http://schemas.openxmlformats.org/officeDocument/2006/relationships/hyperlink" Target="http://www.conermex.com.mx/files/file/HojasTecnicas/Inversores-Interconexion-a-Red/zvs-1500_2000_3000_5000.pdf" TargetMode="External"/><Relationship Id="rId16" Type="http://schemas.openxmlformats.org/officeDocument/2006/relationships/hyperlink" Target="http://www.conermex.com.mx/files/file/HojasTecnicas/01_Modulos/sw-295-rv080616.pdf" TargetMode="External"/><Relationship Id="rId20" Type="http://schemas.openxmlformats.org/officeDocument/2006/relationships/hyperlink" Target="http://www.conermex.com.mx/files/file/HojasTecnicas/Inversores-Interconexion-a-Red/en-k215.pdf" TargetMode="External"/><Relationship Id="rId1" Type="http://schemas.openxmlformats.org/officeDocument/2006/relationships/image" Target="../media/image1.png"/><Relationship Id="rId6" Type="http://schemas.openxmlformats.org/officeDocument/2006/relationships/hyperlink" Target="http://www.conermex.com.mx/files/file/HojasTecnicas/Inversores-Interconexion-a-Red/igp_5.0_6.0_7.5.pdf" TargetMode="External"/><Relationship Id="rId11" Type="http://schemas.openxmlformats.org/officeDocument/2006/relationships/hyperlink" Target="http://www.conermex.com.mx/files/file/HojasTecnicas/Equipos,%20accesorios%20y%20Herramientas/mc4-y-m_mc4-y-h.pdf" TargetMode="External"/><Relationship Id="rId5" Type="http://schemas.openxmlformats.org/officeDocument/2006/relationships/hyperlink" Target="http://www.conermex.com.mx/files/file/HojasTecnicas/Inversores-Interconexion-a-Red/igp_3.0_3.8.pdf" TargetMode="External"/><Relationship Id="rId15" Type="http://schemas.openxmlformats.org/officeDocument/2006/relationships/hyperlink" Target="http://www.conermex.com.mx/files/file/HojasTecnicas/01_Modulos/sw-275_mono.pdf" TargetMode="External"/><Relationship Id="rId10" Type="http://schemas.openxmlformats.org/officeDocument/2006/relationships/hyperlink" Target="http://www.conermex.com.mx/files/file/HojasTecnicas/Equipos,%20accesorios%20y%20Herramientas/mc4-m_mc4-h.pdf" TargetMode="External"/><Relationship Id="rId19" Type="http://schemas.openxmlformats.org/officeDocument/2006/relationships/hyperlink" Target="http://www.conermex.com.mx/files/file/HojasTecnicas/Inversores-Interconexion-a-Red/en-215.pdf" TargetMode="External"/><Relationship Id="rId4" Type="http://schemas.openxmlformats.org/officeDocument/2006/relationships/hyperlink" Target="http://www.conermex.com.mx/files/file/HojasTecnicas/Inversores-Interconexion-a-Red/ig_2000_3000_4000_5100.pdf" TargetMode="External"/><Relationship Id="rId9" Type="http://schemas.openxmlformats.org/officeDocument/2006/relationships/hyperlink" Target="http://www.conermex.com.mx/files/file/HojasTecnicas/Inversores-Interconexion-a-Red/datamanager.pdf" TargetMode="External"/><Relationship Id="rId14" Type="http://schemas.openxmlformats.org/officeDocument/2006/relationships/hyperlink" Target="http://www.conermex.com.mx/files/file/HojasTecnicas/01_Modulos/sw-250.pdf" TargetMode="External"/></Relationships>
</file>

<file path=xl/drawings/_rels/drawing5.xml.rels><?xml version="1.0" encoding="UTF-8" standalone="yes"?>
<Relationships xmlns="http://schemas.openxmlformats.org/package/2006/relationships"><Relationship Id="rId8" Type="http://schemas.openxmlformats.org/officeDocument/2006/relationships/hyperlink" Target="http://www.conermex.com.mx/files/file/HojasTecnicas/Inversores-Interconexion-a-Red/comcard.pdf" TargetMode="External"/><Relationship Id="rId13" Type="http://schemas.openxmlformats.org/officeDocument/2006/relationships/hyperlink" Target="http://www.conermex.com.mx/files/file/HojasTecnicas/02_ControladoresDeCarga/la-302-dc_ac.pdf" TargetMode="External"/><Relationship Id="rId18" Type="http://schemas.openxmlformats.org/officeDocument/2006/relationships/hyperlink" Target="http://www.conermex.com.mx/files/file/HojasTecnicas/01_Modulos/ps-260-rv010616.pdf" TargetMode="External"/><Relationship Id="rId3" Type="http://schemas.openxmlformats.org/officeDocument/2006/relationships/image" Target="../media/image2.png"/><Relationship Id="rId7" Type="http://schemas.openxmlformats.org/officeDocument/2006/relationships/hyperlink" Target="http://www.conermex.com.mx/files/file/HojasTecnicas/Inversores-Interconexion-a-Red/igp_10.0-1_12.0-3.pdf" TargetMode="External"/><Relationship Id="rId12" Type="http://schemas.openxmlformats.org/officeDocument/2006/relationships/hyperlink" Target="http://www.conermex.com.mx/files/file/HojasTecnicas/Equipos,%20accesorios%20y%20Herramientas/medidor_tenmars206.pdf" TargetMode="External"/><Relationship Id="rId17" Type="http://schemas.openxmlformats.org/officeDocument/2006/relationships/hyperlink" Target="http://www.conermex.com.mx/files/file/HojasTecnicas/01_Modulos/ps-250p.pdf" TargetMode="External"/><Relationship Id="rId2" Type="http://schemas.openxmlformats.org/officeDocument/2006/relationships/hyperlink" Target="http://www.conermex.com.mx/files/file/HojasTecnicas/Inversores-Interconexion-a-Red/zvs-1500_2000_3000_5000.pdf" TargetMode="External"/><Relationship Id="rId16" Type="http://schemas.openxmlformats.org/officeDocument/2006/relationships/hyperlink" Target="http://www.conermex.com.mx/files/file/HojasTecnicas/01_Modulos/sw-295-rv080616.pdf" TargetMode="External"/><Relationship Id="rId20" Type="http://schemas.openxmlformats.org/officeDocument/2006/relationships/hyperlink" Target="http://www.conermex.com.mx/files/file/HojasTecnicas/Inversores-Interconexion-a-Red/en-k215.pdf" TargetMode="External"/><Relationship Id="rId1" Type="http://schemas.openxmlformats.org/officeDocument/2006/relationships/image" Target="../media/image1.png"/><Relationship Id="rId6" Type="http://schemas.openxmlformats.org/officeDocument/2006/relationships/hyperlink" Target="http://www.conermex.com.mx/files/file/HojasTecnicas/Inversores-Interconexion-a-Red/igp_5.0_6.0_7.5.pdf" TargetMode="External"/><Relationship Id="rId11" Type="http://schemas.openxmlformats.org/officeDocument/2006/relationships/hyperlink" Target="http://www.conermex.com.mx/files/file/HojasTecnicas/Equipos,%20accesorios%20y%20Herramientas/mc4-y-m_mc4-y-h.pdf" TargetMode="External"/><Relationship Id="rId5" Type="http://schemas.openxmlformats.org/officeDocument/2006/relationships/hyperlink" Target="http://www.conermex.com.mx/files/file/HojasTecnicas/Inversores-Interconexion-a-Red/igp_3.0_3.8.pdf" TargetMode="External"/><Relationship Id="rId15" Type="http://schemas.openxmlformats.org/officeDocument/2006/relationships/hyperlink" Target="http://www.conermex.com.mx/files/file/HojasTecnicas/01_Modulos/sw-275_mono.pdf" TargetMode="External"/><Relationship Id="rId10" Type="http://schemas.openxmlformats.org/officeDocument/2006/relationships/hyperlink" Target="http://www.conermex.com.mx/files/file/HojasTecnicas/Equipos,%20accesorios%20y%20Herramientas/mc4-m_mc4-h.pdf" TargetMode="External"/><Relationship Id="rId19" Type="http://schemas.openxmlformats.org/officeDocument/2006/relationships/hyperlink" Target="http://www.conermex.com.mx/files/file/HojasTecnicas/Inversores-Interconexion-a-Red/en-215.pdf" TargetMode="External"/><Relationship Id="rId4" Type="http://schemas.openxmlformats.org/officeDocument/2006/relationships/hyperlink" Target="http://www.conermex.com.mx/files/file/HojasTecnicas/Inversores-Interconexion-a-Red/ig_2000_3000_4000_5100.pdf" TargetMode="External"/><Relationship Id="rId9" Type="http://schemas.openxmlformats.org/officeDocument/2006/relationships/hyperlink" Target="http://www.conermex.com.mx/files/file/HojasTecnicas/Inversores-Interconexion-a-Red/datamanager.pdf" TargetMode="External"/><Relationship Id="rId14" Type="http://schemas.openxmlformats.org/officeDocument/2006/relationships/hyperlink" Target="http://www.conermex.com.mx/files/file/HojasTecnicas/01_Modulos/sw-250.pdf" TargetMode="External"/></Relationships>
</file>

<file path=xl/drawings/drawing1.xml><?xml version="1.0" encoding="utf-8"?>
<xdr:wsDr xmlns:xdr="http://schemas.openxmlformats.org/drawingml/2006/spreadsheetDrawing" xmlns:a="http://schemas.openxmlformats.org/drawingml/2006/main">
  <xdr:oneCellAnchor>
    <xdr:from>
      <xdr:col>3</xdr:col>
      <xdr:colOff>0</xdr:colOff>
      <xdr:row>200</xdr:row>
      <xdr:rowOff>0</xdr:rowOff>
    </xdr:from>
    <xdr:ext cx="285750" cy="275915"/>
    <xdr:pic>
      <xdr:nvPicPr>
        <xdr:cNvPr id="175" name="Picture 123" descr="http://www.conermex.com.mx/images/pdf-opt-gris.png">
          <a:extLst>
            <a:ext uri="{FF2B5EF4-FFF2-40B4-BE49-F238E27FC236}">
              <a16:creationId xmlns:a16="http://schemas.microsoft.com/office/drawing/2014/main" id="{00000000-0008-0000-0000-0000A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176" name="Picture 124" descr="http://www.conermex.com.mx/images/pdf-opt-gris.png">
          <a:extLst>
            <a:ext uri="{FF2B5EF4-FFF2-40B4-BE49-F238E27FC236}">
              <a16:creationId xmlns:a16="http://schemas.microsoft.com/office/drawing/2014/main" id="{00000000-0008-0000-0000-0000B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177" name="Picture 125"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B1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178" name="Picture 126"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B2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179" name="Picture 127"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B3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180" name="Picture 128"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B4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181" name="Picture 129" descr="http://www.conermex.com.mx/images/pdf-opt-gris.png">
          <a:extLst>
            <a:ext uri="{FF2B5EF4-FFF2-40B4-BE49-F238E27FC236}">
              <a16:creationId xmlns:a16="http://schemas.microsoft.com/office/drawing/2014/main" id="{00000000-0008-0000-0000-0000B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182" name="Picture 130"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B6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183" name="Picture 131"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B7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184" name="Picture 132"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B8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185" name="Picture 133"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B9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186" name="Picture 134" descr="http://www.conermex.com.mx/images/pdf-opt.png">
          <a:hlinkClick xmlns:r="http://schemas.openxmlformats.org/officeDocument/2006/relationships" r:id="rId5" tgtFrame="_blank"/>
          <a:extLst>
            <a:ext uri="{FF2B5EF4-FFF2-40B4-BE49-F238E27FC236}">
              <a16:creationId xmlns:a16="http://schemas.microsoft.com/office/drawing/2014/main" id="{00000000-0008-0000-0000-0000BA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187" name="Picture 135" descr="http://www.conermex.com.mx/images/pdf-opt.png">
          <a:hlinkClick xmlns:r="http://schemas.openxmlformats.org/officeDocument/2006/relationships" r:id="rId5" tgtFrame="_blank"/>
          <a:extLst>
            <a:ext uri="{FF2B5EF4-FFF2-40B4-BE49-F238E27FC236}">
              <a16:creationId xmlns:a16="http://schemas.microsoft.com/office/drawing/2014/main" id="{00000000-0008-0000-0000-0000BB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188" name="Picture 136"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BC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189" name="Picture 137"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BD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190" name="Picture 138"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BE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191" name="Picture 139"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BF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192" name="Picture 140"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C0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193" name="Picture 141"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C1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194" name="Picture 142"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C2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195" name="Picture 143" descr="http://www.conermex.com.mx/images/pdf-opt.png">
          <a:hlinkClick xmlns:r="http://schemas.openxmlformats.org/officeDocument/2006/relationships" r:id="rId8" tgtFrame="_blank"/>
          <a:extLst>
            <a:ext uri="{FF2B5EF4-FFF2-40B4-BE49-F238E27FC236}">
              <a16:creationId xmlns:a16="http://schemas.microsoft.com/office/drawing/2014/main" id="{00000000-0008-0000-0000-0000C3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196" name="Picture 144" descr="http://www.conermex.com.mx/images/pdf-opt.png">
          <a:hlinkClick xmlns:r="http://schemas.openxmlformats.org/officeDocument/2006/relationships" r:id="rId9" tgtFrame="_blank"/>
          <a:extLst>
            <a:ext uri="{FF2B5EF4-FFF2-40B4-BE49-F238E27FC236}">
              <a16:creationId xmlns:a16="http://schemas.microsoft.com/office/drawing/2014/main" id="{00000000-0008-0000-0000-0000C4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197" name="Picture 145" descr="http://www.conermex.com.mx/images/pdf-opt-gris.png">
          <a:extLst>
            <a:ext uri="{FF2B5EF4-FFF2-40B4-BE49-F238E27FC236}">
              <a16:creationId xmlns:a16="http://schemas.microsoft.com/office/drawing/2014/main" id="{00000000-0008-0000-0000-0000C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198" name="Picture 146" descr="http://www.conermex.com.mx/images/pdf-opt-gris.png">
          <a:extLst>
            <a:ext uri="{FF2B5EF4-FFF2-40B4-BE49-F238E27FC236}">
              <a16:creationId xmlns:a16="http://schemas.microsoft.com/office/drawing/2014/main" id="{00000000-0008-0000-0000-0000C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199" name="Picture 147" descr="http://www.conermex.com.mx/images/pdf-opt-gris.png">
          <a:extLst>
            <a:ext uri="{FF2B5EF4-FFF2-40B4-BE49-F238E27FC236}">
              <a16:creationId xmlns:a16="http://schemas.microsoft.com/office/drawing/2014/main" id="{00000000-0008-0000-0000-0000C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00" name="Picture 148" descr="http://www.conermex.com.mx/images/pdf-opt-gris.png">
          <a:extLst>
            <a:ext uri="{FF2B5EF4-FFF2-40B4-BE49-F238E27FC236}">
              <a16:creationId xmlns:a16="http://schemas.microsoft.com/office/drawing/2014/main" id="{00000000-0008-0000-0000-0000C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01" name="Picture 149" descr="http://www.conermex.com.mx/images/pdf-opt-gris.png">
          <a:extLst>
            <a:ext uri="{FF2B5EF4-FFF2-40B4-BE49-F238E27FC236}">
              <a16:creationId xmlns:a16="http://schemas.microsoft.com/office/drawing/2014/main" id="{00000000-0008-0000-0000-0000C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02" name="Picture 150" descr="http://www.conermex.com.mx/images/pdf-opt-gris.png">
          <a:extLst>
            <a:ext uri="{FF2B5EF4-FFF2-40B4-BE49-F238E27FC236}">
              <a16:creationId xmlns:a16="http://schemas.microsoft.com/office/drawing/2014/main" id="{00000000-0008-0000-0000-0000C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03" name="Picture 151" descr="http://www.conermex.com.mx/images/pdf-opt-gris.png">
          <a:extLst>
            <a:ext uri="{FF2B5EF4-FFF2-40B4-BE49-F238E27FC236}">
              <a16:creationId xmlns:a16="http://schemas.microsoft.com/office/drawing/2014/main" id="{00000000-0008-0000-0000-0000C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04" name="Picture 152" descr="http://www.conermex.com.mx/images/pdf-opt-gris.png">
          <a:extLst>
            <a:ext uri="{FF2B5EF4-FFF2-40B4-BE49-F238E27FC236}">
              <a16:creationId xmlns:a16="http://schemas.microsoft.com/office/drawing/2014/main" id="{00000000-0008-0000-0000-0000C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05" name="Picture 153" descr="http://www.conermex.com.mx/images/pdf-opt-gris.png">
          <a:extLst>
            <a:ext uri="{FF2B5EF4-FFF2-40B4-BE49-F238E27FC236}">
              <a16:creationId xmlns:a16="http://schemas.microsoft.com/office/drawing/2014/main" id="{00000000-0008-0000-0000-0000C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06" name="Picture 154" descr="http://www.conermex.com.mx/images/pdf-opt-gris.png">
          <a:extLst>
            <a:ext uri="{FF2B5EF4-FFF2-40B4-BE49-F238E27FC236}">
              <a16:creationId xmlns:a16="http://schemas.microsoft.com/office/drawing/2014/main" id="{00000000-0008-0000-0000-0000C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07" name="Picture 155" descr="http://www.conermex.com.mx/images/pdf-opt-gris.png">
          <a:extLst>
            <a:ext uri="{FF2B5EF4-FFF2-40B4-BE49-F238E27FC236}">
              <a16:creationId xmlns:a16="http://schemas.microsoft.com/office/drawing/2014/main" id="{00000000-0008-0000-0000-0000C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08" name="Picture 156" descr="http://www.conermex.com.mx/images/pdf-opt-gris.png">
          <a:extLst>
            <a:ext uri="{FF2B5EF4-FFF2-40B4-BE49-F238E27FC236}">
              <a16:creationId xmlns:a16="http://schemas.microsoft.com/office/drawing/2014/main" id="{00000000-0008-0000-0000-0000D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09" name="Picture 157" descr="http://www.conermex.com.mx/images/pdf-opt-gris.png">
          <a:extLst>
            <a:ext uri="{FF2B5EF4-FFF2-40B4-BE49-F238E27FC236}">
              <a16:creationId xmlns:a16="http://schemas.microsoft.com/office/drawing/2014/main" id="{00000000-0008-0000-0000-0000D1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10" name="Picture 158" descr="http://www.conermex.com.mx/images/pdf-opt-gris.png">
          <a:extLst>
            <a:ext uri="{FF2B5EF4-FFF2-40B4-BE49-F238E27FC236}">
              <a16:creationId xmlns:a16="http://schemas.microsoft.com/office/drawing/2014/main" id="{00000000-0008-0000-0000-0000D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11" name="Picture 159" descr="http://www.conermex.com.mx/images/pdf-opt-gris.png">
          <a:extLst>
            <a:ext uri="{FF2B5EF4-FFF2-40B4-BE49-F238E27FC236}">
              <a16:creationId xmlns:a16="http://schemas.microsoft.com/office/drawing/2014/main" id="{00000000-0008-0000-0000-0000D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12" name="Picture 160" descr="http://www.conermex.com.mx/images/pdf-opt-gris.png">
          <a:extLst>
            <a:ext uri="{FF2B5EF4-FFF2-40B4-BE49-F238E27FC236}">
              <a16:creationId xmlns:a16="http://schemas.microsoft.com/office/drawing/2014/main" id="{00000000-0008-0000-0000-0000D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13" name="Picture 161" descr="http://www.conermex.com.mx/images/pdf-opt-gris.png">
          <a:extLst>
            <a:ext uri="{FF2B5EF4-FFF2-40B4-BE49-F238E27FC236}">
              <a16:creationId xmlns:a16="http://schemas.microsoft.com/office/drawing/2014/main" id="{00000000-0008-0000-0000-0000D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14" name="Picture 162" descr="http://www.conermex.com.mx/images/pdf-opt-gris.png">
          <a:extLst>
            <a:ext uri="{FF2B5EF4-FFF2-40B4-BE49-F238E27FC236}">
              <a16:creationId xmlns:a16="http://schemas.microsoft.com/office/drawing/2014/main" id="{00000000-0008-0000-0000-0000D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15" name="Picture 163" descr="http://www.conermex.com.mx/images/pdf-opt-gris.png">
          <a:extLst>
            <a:ext uri="{FF2B5EF4-FFF2-40B4-BE49-F238E27FC236}">
              <a16:creationId xmlns:a16="http://schemas.microsoft.com/office/drawing/2014/main" id="{00000000-0008-0000-0000-0000D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16" name="Picture 164" descr="http://www.conermex.com.mx/images/pdf-opt-gris.png">
          <a:extLst>
            <a:ext uri="{FF2B5EF4-FFF2-40B4-BE49-F238E27FC236}">
              <a16:creationId xmlns:a16="http://schemas.microsoft.com/office/drawing/2014/main" id="{00000000-0008-0000-0000-0000D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17" name="Picture 165" descr="http://www.conermex.com.mx/images/pdf-opt-gris.png">
          <a:extLst>
            <a:ext uri="{FF2B5EF4-FFF2-40B4-BE49-F238E27FC236}">
              <a16:creationId xmlns:a16="http://schemas.microsoft.com/office/drawing/2014/main" id="{00000000-0008-0000-0000-0000D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18" name="Picture 166" descr="http://www.conermex.com.mx/images/pdf-opt-gris.png">
          <a:extLst>
            <a:ext uri="{FF2B5EF4-FFF2-40B4-BE49-F238E27FC236}">
              <a16:creationId xmlns:a16="http://schemas.microsoft.com/office/drawing/2014/main" id="{00000000-0008-0000-0000-0000D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19" name="Picture 167" descr="http://www.conermex.com.mx/images/pdf-opt-gris.png">
          <a:extLst>
            <a:ext uri="{FF2B5EF4-FFF2-40B4-BE49-F238E27FC236}">
              <a16:creationId xmlns:a16="http://schemas.microsoft.com/office/drawing/2014/main" id="{00000000-0008-0000-0000-0000D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20" name="Picture 168" descr="http://www.conermex.com.mx/images/pdf-opt-gris.png">
          <a:extLst>
            <a:ext uri="{FF2B5EF4-FFF2-40B4-BE49-F238E27FC236}">
              <a16:creationId xmlns:a16="http://schemas.microsoft.com/office/drawing/2014/main" id="{00000000-0008-0000-0000-0000D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21" name="Picture 169" descr="http://www.conermex.com.mx/images/pdf-opt-gris.png">
          <a:extLst>
            <a:ext uri="{FF2B5EF4-FFF2-40B4-BE49-F238E27FC236}">
              <a16:creationId xmlns:a16="http://schemas.microsoft.com/office/drawing/2014/main" id="{00000000-0008-0000-0000-0000D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22" name="Picture 170" descr="http://www.conermex.com.mx/images/pdf-opt-gris.png">
          <a:extLst>
            <a:ext uri="{FF2B5EF4-FFF2-40B4-BE49-F238E27FC236}">
              <a16:creationId xmlns:a16="http://schemas.microsoft.com/office/drawing/2014/main" id="{00000000-0008-0000-0000-0000D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23" name="Picture 171" descr="http://www.conermex.com.mx/images/pdf-opt-gris.png">
          <a:extLst>
            <a:ext uri="{FF2B5EF4-FFF2-40B4-BE49-F238E27FC236}">
              <a16:creationId xmlns:a16="http://schemas.microsoft.com/office/drawing/2014/main" id="{00000000-0008-0000-0000-0000D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24" name="Picture 172" descr="http://www.conermex.com.mx/images/pdf-opt-gris.png">
          <a:extLst>
            <a:ext uri="{FF2B5EF4-FFF2-40B4-BE49-F238E27FC236}">
              <a16:creationId xmlns:a16="http://schemas.microsoft.com/office/drawing/2014/main" id="{00000000-0008-0000-0000-0000E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25" name="Picture 173" descr="http://www.conermex.com.mx/images/pdf-opt-gris.png">
          <a:extLst>
            <a:ext uri="{FF2B5EF4-FFF2-40B4-BE49-F238E27FC236}">
              <a16:creationId xmlns:a16="http://schemas.microsoft.com/office/drawing/2014/main" id="{00000000-0008-0000-0000-0000E1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26" name="Picture 174" descr="http://www.conermex.com.mx/images/pdf-opt-gris.png">
          <a:extLst>
            <a:ext uri="{FF2B5EF4-FFF2-40B4-BE49-F238E27FC236}">
              <a16:creationId xmlns:a16="http://schemas.microsoft.com/office/drawing/2014/main" id="{00000000-0008-0000-0000-0000E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27" name="Picture 175" descr="http://www.conermex.com.mx/images/pdf-opt-gris.png">
          <a:extLst>
            <a:ext uri="{FF2B5EF4-FFF2-40B4-BE49-F238E27FC236}">
              <a16:creationId xmlns:a16="http://schemas.microsoft.com/office/drawing/2014/main" id="{00000000-0008-0000-0000-0000E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28" name="Picture 176" descr="http://www.conermex.com.mx/images/pdf-opt-gris.png">
          <a:extLst>
            <a:ext uri="{FF2B5EF4-FFF2-40B4-BE49-F238E27FC236}">
              <a16:creationId xmlns:a16="http://schemas.microsoft.com/office/drawing/2014/main" id="{00000000-0008-0000-0000-0000E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29" name="Picture 177" descr="http://www.conermex.com.mx/images/pdf-opt-gris.png">
          <a:extLst>
            <a:ext uri="{FF2B5EF4-FFF2-40B4-BE49-F238E27FC236}">
              <a16:creationId xmlns:a16="http://schemas.microsoft.com/office/drawing/2014/main" id="{00000000-0008-0000-0000-0000E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30" name="Picture 178" descr="http://www.conermex.com.mx/images/pdf-opt-gris.png">
          <a:extLst>
            <a:ext uri="{FF2B5EF4-FFF2-40B4-BE49-F238E27FC236}">
              <a16:creationId xmlns:a16="http://schemas.microsoft.com/office/drawing/2014/main" id="{00000000-0008-0000-0000-0000E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31" name="Picture 179" descr="http://www.conermex.com.mx/images/pdf-opt-gris.png">
          <a:extLst>
            <a:ext uri="{FF2B5EF4-FFF2-40B4-BE49-F238E27FC236}">
              <a16:creationId xmlns:a16="http://schemas.microsoft.com/office/drawing/2014/main" id="{00000000-0008-0000-0000-0000E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32" name="Picture 180" descr="http://www.conermex.com.mx/images/pdf-opt-gris.png">
          <a:extLst>
            <a:ext uri="{FF2B5EF4-FFF2-40B4-BE49-F238E27FC236}">
              <a16:creationId xmlns:a16="http://schemas.microsoft.com/office/drawing/2014/main" id="{00000000-0008-0000-0000-0000E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33" name="Picture 181" descr="http://www.conermex.com.mx/images/pdf-opt-gris.png">
          <a:extLst>
            <a:ext uri="{FF2B5EF4-FFF2-40B4-BE49-F238E27FC236}">
              <a16:creationId xmlns:a16="http://schemas.microsoft.com/office/drawing/2014/main" id="{00000000-0008-0000-0000-0000E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34" name="Picture 182" descr="http://www.conermex.com.mx/images/pdf-opt-gris.png">
          <a:extLst>
            <a:ext uri="{FF2B5EF4-FFF2-40B4-BE49-F238E27FC236}">
              <a16:creationId xmlns:a16="http://schemas.microsoft.com/office/drawing/2014/main" id="{00000000-0008-0000-0000-0000E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35" name="Picture 183" descr="http://www.conermex.com.mx/images/pdf-opt-gris.png">
          <a:extLst>
            <a:ext uri="{FF2B5EF4-FFF2-40B4-BE49-F238E27FC236}">
              <a16:creationId xmlns:a16="http://schemas.microsoft.com/office/drawing/2014/main" id="{00000000-0008-0000-0000-0000E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36" name="Picture 184" descr="http://www.conermex.com.mx/images/pdf-opt-gris.png">
          <a:extLst>
            <a:ext uri="{FF2B5EF4-FFF2-40B4-BE49-F238E27FC236}">
              <a16:creationId xmlns:a16="http://schemas.microsoft.com/office/drawing/2014/main" id="{00000000-0008-0000-0000-0000E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37" name="Picture 185" descr="http://www.conermex.com.mx/images/pdf-opt-gris.png">
          <a:extLst>
            <a:ext uri="{FF2B5EF4-FFF2-40B4-BE49-F238E27FC236}">
              <a16:creationId xmlns:a16="http://schemas.microsoft.com/office/drawing/2014/main" id="{00000000-0008-0000-0000-0000E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38" name="Picture 186" descr="http://www.conermex.com.mx/images/pdf-opt-gris.png">
          <a:extLst>
            <a:ext uri="{FF2B5EF4-FFF2-40B4-BE49-F238E27FC236}">
              <a16:creationId xmlns:a16="http://schemas.microsoft.com/office/drawing/2014/main" id="{00000000-0008-0000-0000-0000E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39" name="Picture 187" descr="http://www.conermex.com.mx/images/pdf-opt-gris.png">
          <a:extLst>
            <a:ext uri="{FF2B5EF4-FFF2-40B4-BE49-F238E27FC236}">
              <a16:creationId xmlns:a16="http://schemas.microsoft.com/office/drawing/2014/main" id="{00000000-0008-0000-0000-0000E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40" name="Picture 188" descr="http://www.conermex.com.mx/images/pdf-opt-gris.png">
          <a:extLst>
            <a:ext uri="{FF2B5EF4-FFF2-40B4-BE49-F238E27FC236}">
              <a16:creationId xmlns:a16="http://schemas.microsoft.com/office/drawing/2014/main" id="{00000000-0008-0000-0000-0000F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41" name="Picture 189" descr="http://www.conermex.com.mx/images/pdf-opt-gris.png">
          <a:extLst>
            <a:ext uri="{FF2B5EF4-FFF2-40B4-BE49-F238E27FC236}">
              <a16:creationId xmlns:a16="http://schemas.microsoft.com/office/drawing/2014/main" id="{00000000-0008-0000-0000-0000F1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42" name="Picture 190" descr="http://www.conermex.com.mx/images/pdf-opt-gris.png">
          <a:extLst>
            <a:ext uri="{FF2B5EF4-FFF2-40B4-BE49-F238E27FC236}">
              <a16:creationId xmlns:a16="http://schemas.microsoft.com/office/drawing/2014/main" id="{00000000-0008-0000-0000-0000F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43" name="Picture 191" descr="http://www.conermex.com.mx/images/pdf-opt-gris.png">
          <a:extLst>
            <a:ext uri="{FF2B5EF4-FFF2-40B4-BE49-F238E27FC236}">
              <a16:creationId xmlns:a16="http://schemas.microsoft.com/office/drawing/2014/main" id="{00000000-0008-0000-0000-0000F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44" name="Picture 192" descr="http://www.conermex.com.mx/images/pdf-opt-gris.png">
          <a:extLst>
            <a:ext uri="{FF2B5EF4-FFF2-40B4-BE49-F238E27FC236}">
              <a16:creationId xmlns:a16="http://schemas.microsoft.com/office/drawing/2014/main" id="{00000000-0008-0000-0000-0000F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45" name="Picture 193" descr="http://www.conermex.com.mx/images/pdf-opt-gris.png">
          <a:extLst>
            <a:ext uri="{FF2B5EF4-FFF2-40B4-BE49-F238E27FC236}">
              <a16:creationId xmlns:a16="http://schemas.microsoft.com/office/drawing/2014/main" id="{00000000-0008-0000-0000-0000F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46" name="Picture 194" descr="http://www.conermex.com.mx/images/pdf-opt-gris.png">
          <a:extLst>
            <a:ext uri="{FF2B5EF4-FFF2-40B4-BE49-F238E27FC236}">
              <a16:creationId xmlns:a16="http://schemas.microsoft.com/office/drawing/2014/main" id="{00000000-0008-0000-0000-0000F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47" name="Picture 195" descr="http://www.conermex.com.mx/images/pdf-opt-gris.png">
          <a:extLst>
            <a:ext uri="{FF2B5EF4-FFF2-40B4-BE49-F238E27FC236}">
              <a16:creationId xmlns:a16="http://schemas.microsoft.com/office/drawing/2014/main" id="{00000000-0008-0000-0000-0000F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48" name="Picture 196" descr="http://www.conermex.com.mx/images/pdf-opt-gris.png">
          <a:extLst>
            <a:ext uri="{FF2B5EF4-FFF2-40B4-BE49-F238E27FC236}">
              <a16:creationId xmlns:a16="http://schemas.microsoft.com/office/drawing/2014/main" id="{00000000-0008-0000-0000-0000F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49" name="Picture 197" descr="http://www.conermex.com.mx/images/pdf-opt-gris.png">
          <a:extLst>
            <a:ext uri="{FF2B5EF4-FFF2-40B4-BE49-F238E27FC236}">
              <a16:creationId xmlns:a16="http://schemas.microsoft.com/office/drawing/2014/main" id="{00000000-0008-0000-0000-0000F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50" name="Picture 198" descr="http://www.conermex.com.mx/images/pdf-opt-gris.png">
          <a:extLst>
            <a:ext uri="{FF2B5EF4-FFF2-40B4-BE49-F238E27FC236}">
              <a16:creationId xmlns:a16="http://schemas.microsoft.com/office/drawing/2014/main" id="{00000000-0008-0000-0000-0000F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51" name="Picture 199" descr="http://www.conermex.com.mx/images/pdf-opt-gris.png">
          <a:extLst>
            <a:ext uri="{FF2B5EF4-FFF2-40B4-BE49-F238E27FC236}">
              <a16:creationId xmlns:a16="http://schemas.microsoft.com/office/drawing/2014/main" id="{00000000-0008-0000-0000-0000F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52" name="Picture 200" descr="http://www.conermex.com.mx/images/pdf-opt-gris.png">
          <a:extLst>
            <a:ext uri="{FF2B5EF4-FFF2-40B4-BE49-F238E27FC236}">
              <a16:creationId xmlns:a16="http://schemas.microsoft.com/office/drawing/2014/main" id="{00000000-0008-0000-0000-0000F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53" name="Picture 201" descr="http://www.conermex.com.mx/images/pdf-opt-gris.png">
          <a:extLst>
            <a:ext uri="{FF2B5EF4-FFF2-40B4-BE49-F238E27FC236}">
              <a16:creationId xmlns:a16="http://schemas.microsoft.com/office/drawing/2014/main" id="{00000000-0008-0000-0000-0000F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54" name="Picture 202" descr="http://www.conermex.com.mx/images/pdf-opt-gris.png">
          <a:extLst>
            <a:ext uri="{FF2B5EF4-FFF2-40B4-BE49-F238E27FC236}">
              <a16:creationId xmlns:a16="http://schemas.microsoft.com/office/drawing/2014/main" id="{00000000-0008-0000-0000-0000F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55" name="Picture 203" descr="http://www.conermex.com.mx/images/pdf-opt-gris.png">
          <a:extLst>
            <a:ext uri="{FF2B5EF4-FFF2-40B4-BE49-F238E27FC236}">
              <a16:creationId xmlns:a16="http://schemas.microsoft.com/office/drawing/2014/main" id="{00000000-0008-0000-0000-0000F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56" name="Picture 204" descr="http://www.conermex.com.mx/images/pdf-opt-gris.png">
          <a:extLst>
            <a:ext uri="{FF2B5EF4-FFF2-40B4-BE49-F238E27FC236}">
              <a16:creationId xmlns:a16="http://schemas.microsoft.com/office/drawing/2014/main" id="{00000000-0008-0000-0000-00000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57" name="Picture 205" descr="http://www.conermex.com.mx/images/pdf-opt-gris.png">
          <a:extLst>
            <a:ext uri="{FF2B5EF4-FFF2-40B4-BE49-F238E27FC236}">
              <a16:creationId xmlns:a16="http://schemas.microsoft.com/office/drawing/2014/main" id="{00000000-0008-0000-0000-00000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58" name="Picture 206" descr="http://www.conermex.com.mx/images/pdf-opt-gris.png">
          <a:extLst>
            <a:ext uri="{FF2B5EF4-FFF2-40B4-BE49-F238E27FC236}">
              <a16:creationId xmlns:a16="http://schemas.microsoft.com/office/drawing/2014/main" id="{00000000-0008-0000-0000-00000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59" name="Picture 207" descr="http://www.conermex.com.mx/images/pdf-opt-gris.png">
          <a:extLst>
            <a:ext uri="{FF2B5EF4-FFF2-40B4-BE49-F238E27FC236}">
              <a16:creationId xmlns:a16="http://schemas.microsoft.com/office/drawing/2014/main" id="{00000000-0008-0000-0000-00000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60" name="Picture 208" descr="http://www.conermex.com.mx/images/pdf-opt-gris.png">
          <a:extLst>
            <a:ext uri="{FF2B5EF4-FFF2-40B4-BE49-F238E27FC236}">
              <a16:creationId xmlns:a16="http://schemas.microsoft.com/office/drawing/2014/main" id="{00000000-0008-0000-0000-00000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61" name="Picture 209" descr="http://www.conermex.com.mx/images/pdf-opt-gris.png">
          <a:extLst>
            <a:ext uri="{FF2B5EF4-FFF2-40B4-BE49-F238E27FC236}">
              <a16:creationId xmlns:a16="http://schemas.microsoft.com/office/drawing/2014/main" id="{00000000-0008-0000-0000-00000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62" name="Picture 210" descr="http://www.conermex.com.mx/images/pdf-opt-gris.png">
          <a:extLst>
            <a:ext uri="{FF2B5EF4-FFF2-40B4-BE49-F238E27FC236}">
              <a16:creationId xmlns:a16="http://schemas.microsoft.com/office/drawing/2014/main" id="{00000000-0008-0000-0000-00000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63" name="Picture 211" descr="http://www.conermex.com.mx/images/pdf-opt-gris.png">
          <a:extLst>
            <a:ext uri="{FF2B5EF4-FFF2-40B4-BE49-F238E27FC236}">
              <a16:creationId xmlns:a16="http://schemas.microsoft.com/office/drawing/2014/main" id="{00000000-0008-0000-0000-00000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64" name="Picture 212" descr="http://www.conermex.com.mx/images/pdf-opt-gris.png">
          <a:extLst>
            <a:ext uri="{FF2B5EF4-FFF2-40B4-BE49-F238E27FC236}">
              <a16:creationId xmlns:a16="http://schemas.microsoft.com/office/drawing/2014/main" id="{00000000-0008-0000-0000-00000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65" name="Picture 213" descr="http://www.conermex.com.mx/images/pdf-opt-gris.png">
          <a:extLst>
            <a:ext uri="{FF2B5EF4-FFF2-40B4-BE49-F238E27FC236}">
              <a16:creationId xmlns:a16="http://schemas.microsoft.com/office/drawing/2014/main" id="{00000000-0008-0000-0000-00000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66" name="Picture 214" descr="http://www.conermex.com.mx/images/pdf-opt-gris.png">
          <a:extLst>
            <a:ext uri="{FF2B5EF4-FFF2-40B4-BE49-F238E27FC236}">
              <a16:creationId xmlns:a16="http://schemas.microsoft.com/office/drawing/2014/main" id="{00000000-0008-0000-0000-00000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67" name="Picture 215" descr="http://www.conermex.com.mx/images/pdf-opt-gris.png">
          <a:extLst>
            <a:ext uri="{FF2B5EF4-FFF2-40B4-BE49-F238E27FC236}">
              <a16:creationId xmlns:a16="http://schemas.microsoft.com/office/drawing/2014/main" id="{00000000-0008-0000-0000-00000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68" name="Picture 216" descr="http://www.conermex.com.mx/images/pdf-opt-gris.png">
          <a:extLst>
            <a:ext uri="{FF2B5EF4-FFF2-40B4-BE49-F238E27FC236}">
              <a16:creationId xmlns:a16="http://schemas.microsoft.com/office/drawing/2014/main" id="{00000000-0008-0000-0000-00000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69" name="Picture 217" descr="http://www.conermex.com.mx/images/pdf-opt-gris.png">
          <a:extLst>
            <a:ext uri="{FF2B5EF4-FFF2-40B4-BE49-F238E27FC236}">
              <a16:creationId xmlns:a16="http://schemas.microsoft.com/office/drawing/2014/main" id="{00000000-0008-0000-0000-00000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70" name="Picture 218" descr="http://www.conermex.com.mx/images/pdf-opt-gris.png">
          <a:extLst>
            <a:ext uri="{FF2B5EF4-FFF2-40B4-BE49-F238E27FC236}">
              <a16:creationId xmlns:a16="http://schemas.microsoft.com/office/drawing/2014/main" id="{00000000-0008-0000-0000-00000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71" name="Picture 219" descr="http://www.conermex.com.mx/images/pdf-opt-gris.png">
          <a:extLst>
            <a:ext uri="{FF2B5EF4-FFF2-40B4-BE49-F238E27FC236}">
              <a16:creationId xmlns:a16="http://schemas.microsoft.com/office/drawing/2014/main" id="{00000000-0008-0000-0000-00000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72" name="Picture 220" descr="http://www.conermex.com.mx/images/pdf-opt-gris.png">
          <a:extLst>
            <a:ext uri="{FF2B5EF4-FFF2-40B4-BE49-F238E27FC236}">
              <a16:creationId xmlns:a16="http://schemas.microsoft.com/office/drawing/2014/main" id="{00000000-0008-0000-0000-00001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73" name="Picture 221" descr="http://www.conermex.com.mx/images/pdf-opt-gris.png">
          <a:extLst>
            <a:ext uri="{FF2B5EF4-FFF2-40B4-BE49-F238E27FC236}">
              <a16:creationId xmlns:a16="http://schemas.microsoft.com/office/drawing/2014/main" id="{00000000-0008-0000-0000-00001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74" name="Picture 222" descr="http://www.conermex.com.mx/images/pdf-opt-gris.png">
          <a:extLst>
            <a:ext uri="{FF2B5EF4-FFF2-40B4-BE49-F238E27FC236}">
              <a16:creationId xmlns:a16="http://schemas.microsoft.com/office/drawing/2014/main" id="{00000000-0008-0000-0000-00001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75" name="Picture 223" descr="http://www.conermex.com.mx/images/pdf-opt-gris.png">
          <a:extLst>
            <a:ext uri="{FF2B5EF4-FFF2-40B4-BE49-F238E27FC236}">
              <a16:creationId xmlns:a16="http://schemas.microsoft.com/office/drawing/2014/main" id="{00000000-0008-0000-0000-00001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76" name="Picture 224" descr="http://www.conermex.com.mx/images/pdf-opt-gris.png">
          <a:extLst>
            <a:ext uri="{FF2B5EF4-FFF2-40B4-BE49-F238E27FC236}">
              <a16:creationId xmlns:a16="http://schemas.microsoft.com/office/drawing/2014/main" id="{00000000-0008-0000-0000-00001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77" name="Picture 225" descr="http://www.conermex.com.mx/images/pdf-opt-gris.png">
          <a:extLst>
            <a:ext uri="{FF2B5EF4-FFF2-40B4-BE49-F238E27FC236}">
              <a16:creationId xmlns:a16="http://schemas.microsoft.com/office/drawing/2014/main" id="{00000000-0008-0000-0000-00001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78" name="Picture 226" descr="http://www.conermex.com.mx/images/pdf-opt-gris.png">
          <a:extLst>
            <a:ext uri="{FF2B5EF4-FFF2-40B4-BE49-F238E27FC236}">
              <a16:creationId xmlns:a16="http://schemas.microsoft.com/office/drawing/2014/main" id="{00000000-0008-0000-0000-00001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79" name="Picture 227" descr="http://www.conermex.com.mx/images/pdf-opt-gris.png">
          <a:extLst>
            <a:ext uri="{FF2B5EF4-FFF2-40B4-BE49-F238E27FC236}">
              <a16:creationId xmlns:a16="http://schemas.microsoft.com/office/drawing/2014/main" id="{00000000-0008-0000-0000-00001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80" name="Picture 228" descr="http://www.conermex.com.mx/images/pdf-opt-gris.png">
          <a:extLst>
            <a:ext uri="{FF2B5EF4-FFF2-40B4-BE49-F238E27FC236}">
              <a16:creationId xmlns:a16="http://schemas.microsoft.com/office/drawing/2014/main" id="{00000000-0008-0000-0000-00001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81" name="Picture 229" descr="http://www.conermex.com.mx/images/pdf-opt-gris.png">
          <a:extLst>
            <a:ext uri="{FF2B5EF4-FFF2-40B4-BE49-F238E27FC236}">
              <a16:creationId xmlns:a16="http://schemas.microsoft.com/office/drawing/2014/main" id="{00000000-0008-0000-0000-00001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82" name="Picture 230" descr="http://www.conermex.com.mx/images/pdf-opt-gris.png">
          <a:extLst>
            <a:ext uri="{FF2B5EF4-FFF2-40B4-BE49-F238E27FC236}">
              <a16:creationId xmlns:a16="http://schemas.microsoft.com/office/drawing/2014/main" id="{00000000-0008-0000-0000-00001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83" name="Picture 231" descr="http://www.conermex.com.mx/images/pdf-opt-gris.png">
          <a:extLst>
            <a:ext uri="{FF2B5EF4-FFF2-40B4-BE49-F238E27FC236}">
              <a16:creationId xmlns:a16="http://schemas.microsoft.com/office/drawing/2014/main" id="{00000000-0008-0000-0000-00001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84" name="Picture 232" descr="http://www.conermex.com.mx/images/pdf-opt-gris.png">
          <a:extLst>
            <a:ext uri="{FF2B5EF4-FFF2-40B4-BE49-F238E27FC236}">
              <a16:creationId xmlns:a16="http://schemas.microsoft.com/office/drawing/2014/main" id="{00000000-0008-0000-0000-00001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85" name="Picture 233" descr="http://www.conermex.com.mx/images/pdf-opt-gris.png">
          <a:extLst>
            <a:ext uri="{FF2B5EF4-FFF2-40B4-BE49-F238E27FC236}">
              <a16:creationId xmlns:a16="http://schemas.microsoft.com/office/drawing/2014/main" id="{00000000-0008-0000-0000-00001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86" name="Picture 234" descr="http://www.conermex.com.mx/images/pdf-opt-gris.png">
          <a:extLst>
            <a:ext uri="{FF2B5EF4-FFF2-40B4-BE49-F238E27FC236}">
              <a16:creationId xmlns:a16="http://schemas.microsoft.com/office/drawing/2014/main" id="{00000000-0008-0000-0000-00001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87" name="Picture 235" descr="http://www.conermex.com.mx/images/pdf-opt-gris.png">
          <a:extLst>
            <a:ext uri="{FF2B5EF4-FFF2-40B4-BE49-F238E27FC236}">
              <a16:creationId xmlns:a16="http://schemas.microsoft.com/office/drawing/2014/main" id="{00000000-0008-0000-0000-00001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88" name="Picture 236" descr="http://www.conermex.com.mx/images/pdf-opt.png">
          <a:hlinkClick xmlns:r="http://schemas.openxmlformats.org/officeDocument/2006/relationships" r:id="rId8" tgtFrame="_blank"/>
          <a:extLst>
            <a:ext uri="{FF2B5EF4-FFF2-40B4-BE49-F238E27FC236}">
              <a16:creationId xmlns:a16="http://schemas.microsoft.com/office/drawing/2014/main" id="{00000000-0008-0000-0000-000020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89" name="Picture 237" descr="http://www.conermex.com.mx/images/pdf-opt.png">
          <a:hlinkClick xmlns:r="http://schemas.openxmlformats.org/officeDocument/2006/relationships" r:id="rId9" tgtFrame="_blank"/>
          <a:extLst>
            <a:ext uri="{FF2B5EF4-FFF2-40B4-BE49-F238E27FC236}">
              <a16:creationId xmlns:a16="http://schemas.microsoft.com/office/drawing/2014/main" id="{00000000-0008-0000-0000-000021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90" name="Picture 238" descr="http://www.conermex.com.mx/images/pdf-opt-gris.png">
          <a:extLst>
            <a:ext uri="{FF2B5EF4-FFF2-40B4-BE49-F238E27FC236}">
              <a16:creationId xmlns:a16="http://schemas.microsoft.com/office/drawing/2014/main" id="{00000000-0008-0000-0000-00002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91" name="Picture 239" descr="http://www.conermex.com.mx/images/pdf-opt-gris.png">
          <a:extLst>
            <a:ext uri="{FF2B5EF4-FFF2-40B4-BE49-F238E27FC236}">
              <a16:creationId xmlns:a16="http://schemas.microsoft.com/office/drawing/2014/main" id="{00000000-0008-0000-0000-00002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92" name="Picture 240" descr="http://www.conermex.com.mx/images/pdf-opt-gris.png">
          <a:extLst>
            <a:ext uri="{FF2B5EF4-FFF2-40B4-BE49-F238E27FC236}">
              <a16:creationId xmlns:a16="http://schemas.microsoft.com/office/drawing/2014/main" id="{00000000-0008-0000-0000-00002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93" name="Picture 241" descr="http://www.conermex.com.mx/images/pdf-opt.png">
          <a:hlinkClick xmlns:r="http://schemas.openxmlformats.org/officeDocument/2006/relationships" r:id="rId10" tgtFrame="_blank"/>
          <a:extLst>
            <a:ext uri="{FF2B5EF4-FFF2-40B4-BE49-F238E27FC236}">
              <a16:creationId xmlns:a16="http://schemas.microsoft.com/office/drawing/2014/main" id="{00000000-0008-0000-0000-000025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94" name="Picture 242" descr="http://www.conermex.com.mx/images/pdf-opt.png">
          <a:hlinkClick xmlns:r="http://schemas.openxmlformats.org/officeDocument/2006/relationships" r:id="rId10" tgtFrame="_blank"/>
          <a:extLst>
            <a:ext uri="{FF2B5EF4-FFF2-40B4-BE49-F238E27FC236}">
              <a16:creationId xmlns:a16="http://schemas.microsoft.com/office/drawing/2014/main" id="{00000000-0008-0000-0000-000026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95" name="Picture 243" descr="http://www.conermex.com.mx/images/pdf-opt.png">
          <a:hlinkClick xmlns:r="http://schemas.openxmlformats.org/officeDocument/2006/relationships" r:id="rId11" tgtFrame="_blank"/>
          <a:extLst>
            <a:ext uri="{FF2B5EF4-FFF2-40B4-BE49-F238E27FC236}">
              <a16:creationId xmlns:a16="http://schemas.microsoft.com/office/drawing/2014/main" id="{00000000-0008-0000-0000-000027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96" name="Picture 244" descr="http://www.conermex.com.mx/images/pdf-opt.png">
          <a:hlinkClick xmlns:r="http://schemas.openxmlformats.org/officeDocument/2006/relationships" r:id="rId11" tgtFrame="_blank"/>
          <a:extLst>
            <a:ext uri="{FF2B5EF4-FFF2-40B4-BE49-F238E27FC236}">
              <a16:creationId xmlns:a16="http://schemas.microsoft.com/office/drawing/2014/main" id="{00000000-0008-0000-0000-000028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97" name="Picture 245" descr="http://www.conermex.com.mx/images/pdf-opt.png">
          <a:hlinkClick xmlns:r="http://schemas.openxmlformats.org/officeDocument/2006/relationships" r:id="rId11" tgtFrame="_blank"/>
          <a:extLst>
            <a:ext uri="{FF2B5EF4-FFF2-40B4-BE49-F238E27FC236}">
              <a16:creationId xmlns:a16="http://schemas.microsoft.com/office/drawing/2014/main" id="{00000000-0008-0000-0000-000029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98" name="Picture 246" descr="http://www.conermex.com.mx/images/pdf-opt-gris.png">
          <a:hlinkClick xmlns:r="http://schemas.openxmlformats.org/officeDocument/2006/relationships" r:id="rId10" tgtFrame="_blank"/>
          <a:extLst>
            <a:ext uri="{FF2B5EF4-FFF2-40B4-BE49-F238E27FC236}">
              <a16:creationId xmlns:a16="http://schemas.microsoft.com/office/drawing/2014/main" id="{00000000-0008-0000-0000-00002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299" name="Picture 247" descr="http://www.conermex.com.mx/images/pdf-opt-gris.png">
          <a:hlinkClick xmlns:r="http://schemas.openxmlformats.org/officeDocument/2006/relationships" r:id="rId10" tgtFrame="_blank"/>
          <a:extLst>
            <a:ext uri="{FF2B5EF4-FFF2-40B4-BE49-F238E27FC236}">
              <a16:creationId xmlns:a16="http://schemas.microsoft.com/office/drawing/2014/main" id="{00000000-0008-0000-0000-00002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00" name="Picture 248" descr="http://www.conermex.com.mx/images/pdf-opt-gris.png">
          <a:extLst>
            <a:ext uri="{FF2B5EF4-FFF2-40B4-BE49-F238E27FC236}">
              <a16:creationId xmlns:a16="http://schemas.microsoft.com/office/drawing/2014/main" id="{00000000-0008-0000-0000-00002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01" name="Picture 249" descr="http://www.conermex.com.mx/images/pdf-opt-gris.png">
          <a:extLst>
            <a:ext uri="{FF2B5EF4-FFF2-40B4-BE49-F238E27FC236}">
              <a16:creationId xmlns:a16="http://schemas.microsoft.com/office/drawing/2014/main" id="{00000000-0008-0000-0000-00002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02" name="Picture 250" descr="http://www.conermex.com.mx/images/pdf-opt.png">
          <a:hlinkClick xmlns:r="http://schemas.openxmlformats.org/officeDocument/2006/relationships" r:id="rId12" tgtFrame="_blank"/>
          <a:extLst>
            <a:ext uri="{FF2B5EF4-FFF2-40B4-BE49-F238E27FC236}">
              <a16:creationId xmlns:a16="http://schemas.microsoft.com/office/drawing/2014/main" id="{00000000-0008-0000-0000-00002E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03" name="Picture 251" descr="http://www.conermex.com.mx/images/pdf-opt.png">
          <a:hlinkClick xmlns:r="http://schemas.openxmlformats.org/officeDocument/2006/relationships" r:id="rId13" tgtFrame="_blank"/>
          <a:extLst>
            <a:ext uri="{FF2B5EF4-FFF2-40B4-BE49-F238E27FC236}">
              <a16:creationId xmlns:a16="http://schemas.microsoft.com/office/drawing/2014/main" id="{00000000-0008-0000-0000-00002F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04" name="Picture 252" descr="http://www.conermex.com.mx/images/pdf-opt.png">
          <a:hlinkClick xmlns:r="http://schemas.openxmlformats.org/officeDocument/2006/relationships" r:id="rId13" tgtFrame="_blank"/>
          <a:extLst>
            <a:ext uri="{FF2B5EF4-FFF2-40B4-BE49-F238E27FC236}">
              <a16:creationId xmlns:a16="http://schemas.microsoft.com/office/drawing/2014/main" id="{00000000-0008-0000-0000-000030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06" name="Picture 114" descr="http://www.conermex.com.mx/images/pdf-opt.png">
          <a:hlinkClick xmlns:r="http://schemas.openxmlformats.org/officeDocument/2006/relationships" r:id="rId14" tgtFrame="_blank"/>
          <a:extLst>
            <a:ext uri="{FF2B5EF4-FFF2-40B4-BE49-F238E27FC236}">
              <a16:creationId xmlns:a16="http://schemas.microsoft.com/office/drawing/2014/main" id="{00000000-0008-0000-0000-000032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07" name="Picture 115" descr="http://www.conermex.com.mx/images/pdf-opt.png">
          <a:hlinkClick xmlns:r="http://schemas.openxmlformats.org/officeDocument/2006/relationships" r:id="rId15" tgtFrame="_blank"/>
          <a:extLst>
            <a:ext uri="{FF2B5EF4-FFF2-40B4-BE49-F238E27FC236}">
              <a16:creationId xmlns:a16="http://schemas.microsoft.com/office/drawing/2014/main" id="{00000000-0008-0000-0000-000033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08" name="Picture 116" descr="http://www.conermex.com.mx/images/pdf-opt.png">
          <a:hlinkClick xmlns:r="http://schemas.openxmlformats.org/officeDocument/2006/relationships" r:id="rId16" tgtFrame="_blank"/>
          <a:extLst>
            <a:ext uri="{FF2B5EF4-FFF2-40B4-BE49-F238E27FC236}">
              <a16:creationId xmlns:a16="http://schemas.microsoft.com/office/drawing/2014/main" id="{00000000-0008-0000-0000-000034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09" name="Picture 117" descr="http://www.conermex.com.mx/images/pdf-opt.png">
          <a:hlinkClick xmlns:r="http://schemas.openxmlformats.org/officeDocument/2006/relationships" r:id="rId17" tgtFrame="_blank"/>
          <a:extLst>
            <a:ext uri="{FF2B5EF4-FFF2-40B4-BE49-F238E27FC236}">
              <a16:creationId xmlns:a16="http://schemas.microsoft.com/office/drawing/2014/main" id="{00000000-0008-0000-0000-000035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10" name="Picture 118" descr="http://www.conermex.com.mx/images/pdf-opt.png">
          <a:hlinkClick xmlns:r="http://schemas.openxmlformats.org/officeDocument/2006/relationships" r:id="rId18" tgtFrame="_blank"/>
          <a:extLst>
            <a:ext uri="{FF2B5EF4-FFF2-40B4-BE49-F238E27FC236}">
              <a16:creationId xmlns:a16="http://schemas.microsoft.com/office/drawing/2014/main" id="{00000000-0008-0000-0000-000036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11" name="Picture 119" descr="http://www.conermex.com.mx/images/pdf-opt.png">
          <a:hlinkClick xmlns:r="http://schemas.openxmlformats.org/officeDocument/2006/relationships" r:id="rId19" tgtFrame="_blank"/>
          <a:extLst>
            <a:ext uri="{FF2B5EF4-FFF2-40B4-BE49-F238E27FC236}">
              <a16:creationId xmlns:a16="http://schemas.microsoft.com/office/drawing/2014/main" id="{00000000-0008-0000-0000-000037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12" name="Picture 120" descr="http://www.conermex.com.mx/images/pdf-opt-gris.png">
          <a:extLst>
            <a:ext uri="{FF2B5EF4-FFF2-40B4-BE49-F238E27FC236}">
              <a16:creationId xmlns:a16="http://schemas.microsoft.com/office/drawing/2014/main" id="{00000000-0008-0000-0000-00003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13" name="Picture 121" descr="http://www.conermex.com.mx/images/pdf-opt.png">
          <a:hlinkClick xmlns:r="http://schemas.openxmlformats.org/officeDocument/2006/relationships" r:id="rId20"/>
          <a:extLst>
            <a:ext uri="{FF2B5EF4-FFF2-40B4-BE49-F238E27FC236}">
              <a16:creationId xmlns:a16="http://schemas.microsoft.com/office/drawing/2014/main" id="{00000000-0008-0000-0000-000039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14" name="Picture 122" descr="http://www.conermex.com.mx/images/pdf-opt-gris.png">
          <a:extLst>
            <a:ext uri="{FF2B5EF4-FFF2-40B4-BE49-F238E27FC236}">
              <a16:creationId xmlns:a16="http://schemas.microsoft.com/office/drawing/2014/main" id="{00000000-0008-0000-0000-00003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15" name="Picture 123" descr="http://www.conermex.com.mx/images/pdf-opt-gris.png">
          <a:extLst>
            <a:ext uri="{FF2B5EF4-FFF2-40B4-BE49-F238E27FC236}">
              <a16:creationId xmlns:a16="http://schemas.microsoft.com/office/drawing/2014/main" id="{00000000-0008-0000-0000-00003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16" name="Picture 124" descr="http://www.conermex.com.mx/images/pdf-opt-gris.png">
          <a:extLst>
            <a:ext uri="{FF2B5EF4-FFF2-40B4-BE49-F238E27FC236}">
              <a16:creationId xmlns:a16="http://schemas.microsoft.com/office/drawing/2014/main" id="{00000000-0008-0000-0000-00003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17" name="Picture 125"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3D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18" name="Picture 126"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3E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19" name="Picture 127"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3F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20" name="Picture 128"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40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21" name="Picture 129" descr="http://www.conermex.com.mx/images/pdf-opt-gris.png">
          <a:extLst>
            <a:ext uri="{FF2B5EF4-FFF2-40B4-BE49-F238E27FC236}">
              <a16:creationId xmlns:a16="http://schemas.microsoft.com/office/drawing/2014/main" id="{00000000-0008-0000-0000-00004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22" name="Picture 130"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42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23" name="Picture 131"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43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24" name="Picture 132"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44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25" name="Picture 133"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45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26" name="Picture 134" descr="http://www.conermex.com.mx/images/pdf-opt.png">
          <a:hlinkClick xmlns:r="http://schemas.openxmlformats.org/officeDocument/2006/relationships" r:id="rId5" tgtFrame="_blank"/>
          <a:extLst>
            <a:ext uri="{FF2B5EF4-FFF2-40B4-BE49-F238E27FC236}">
              <a16:creationId xmlns:a16="http://schemas.microsoft.com/office/drawing/2014/main" id="{00000000-0008-0000-0000-000046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27" name="Picture 135" descr="http://www.conermex.com.mx/images/pdf-opt.png">
          <a:hlinkClick xmlns:r="http://schemas.openxmlformats.org/officeDocument/2006/relationships" r:id="rId5" tgtFrame="_blank"/>
          <a:extLst>
            <a:ext uri="{FF2B5EF4-FFF2-40B4-BE49-F238E27FC236}">
              <a16:creationId xmlns:a16="http://schemas.microsoft.com/office/drawing/2014/main" id="{00000000-0008-0000-0000-000047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28" name="Picture 136"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48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29" name="Picture 137"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49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30" name="Picture 138"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4A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31" name="Picture 139"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4B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32" name="Picture 140"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4C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33" name="Picture 141"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4D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34" name="Picture 142"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4E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35" name="Picture 143" descr="http://www.conermex.com.mx/images/pdf-opt.png">
          <a:hlinkClick xmlns:r="http://schemas.openxmlformats.org/officeDocument/2006/relationships" r:id="rId8" tgtFrame="_blank"/>
          <a:extLst>
            <a:ext uri="{FF2B5EF4-FFF2-40B4-BE49-F238E27FC236}">
              <a16:creationId xmlns:a16="http://schemas.microsoft.com/office/drawing/2014/main" id="{00000000-0008-0000-0000-00004F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36" name="Picture 144" descr="http://www.conermex.com.mx/images/pdf-opt.png">
          <a:hlinkClick xmlns:r="http://schemas.openxmlformats.org/officeDocument/2006/relationships" r:id="rId9" tgtFrame="_blank"/>
          <a:extLst>
            <a:ext uri="{FF2B5EF4-FFF2-40B4-BE49-F238E27FC236}">
              <a16:creationId xmlns:a16="http://schemas.microsoft.com/office/drawing/2014/main" id="{00000000-0008-0000-0000-000050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37" name="Picture 145" descr="http://www.conermex.com.mx/images/pdf-opt-gris.png">
          <a:extLst>
            <a:ext uri="{FF2B5EF4-FFF2-40B4-BE49-F238E27FC236}">
              <a16:creationId xmlns:a16="http://schemas.microsoft.com/office/drawing/2014/main" id="{00000000-0008-0000-0000-00005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38" name="Picture 146" descr="http://www.conermex.com.mx/images/pdf-opt-gris.png">
          <a:extLst>
            <a:ext uri="{FF2B5EF4-FFF2-40B4-BE49-F238E27FC236}">
              <a16:creationId xmlns:a16="http://schemas.microsoft.com/office/drawing/2014/main" id="{00000000-0008-0000-0000-00005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39" name="Picture 147" descr="http://www.conermex.com.mx/images/pdf-opt-gris.png">
          <a:extLst>
            <a:ext uri="{FF2B5EF4-FFF2-40B4-BE49-F238E27FC236}">
              <a16:creationId xmlns:a16="http://schemas.microsoft.com/office/drawing/2014/main" id="{00000000-0008-0000-0000-00005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40" name="Picture 148" descr="http://www.conermex.com.mx/images/pdf-opt-gris.png">
          <a:extLst>
            <a:ext uri="{FF2B5EF4-FFF2-40B4-BE49-F238E27FC236}">
              <a16:creationId xmlns:a16="http://schemas.microsoft.com/office/drawing/2014/main" id="{00000000-0008-0000-0000-00005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41" name="Picture 149" descr="http://www.conermex.com.mx/images/pdf-opt-gris.png">
          <a:extLst>
            <a:ext uri="{FF2B5EF4-FFF2-40B4-BE49-F238E27FC236}">
              <a16:creationId xmlns:a16="http://schemas.microsoft.com/office/drawing/2014/main" id="{00000000-0008-0000-0000-00005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42" name="Picture 150" descr="http://www.conermex.com.mx/images/pdf-opt-gris.png">
          <a:extLst>
            <a:ext uri="{FF2B5EF4-FFF2-40B4-BE49-F238E27FC236}">
              <a16:creationId xmlns:a16="http://schemas.microsoft.com/office/drawing/2014/main" id="{00000000-0008-0000-0000-00005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43" name="Picture 151" descr="http://www.conermex.com.mx/images/pdf-opt-gris.png">
          <a:extLst>
            <a:ext uri="{FF2B5EF4-FFF2-40B4-BE49-F238E27FC236}">
              <a16:creationId xmlns:a16="http://schemas.microsoft.com/office/drawing/2014/main" id="{00000000-0008-0000-0000-00005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44" name="Picture 152" descr="http://www.conermex.com.mx/images/pdf-opt-gris.png">
          <a:extLst>
            <a:ext uri="{FF2B5EF4-FFF2-40B4-BE49-F238E27FC236}">
              <a16:creationId xmlns:a16="http://schemas.microsoft.com/office/drawing/2014/main" id="{00000000-0008-0000-0000-00005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45" name="Picture 153" descr="http://www.conermex.com.mx/images/pdf-opt-gris.png">
          <a:extLst>
            <a:ext uri="{FF2B5EF4-FFF2-40B4-BE49-F238E27FC236}">
              <a16:creationId xmlns:a16="http://schemas.microsoft.com/office/drawing/2014/main" id="{00000000-0008-0000-0000-00005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46" name="Picture 154" descr="http://www.conermex.com.mx/images/pdf-opt-gris.png">
          <a:extLst>
            <a:ext uri="{FF2B5EF4-FFF2-40B4-BE49-F238E27FC236}">
              <a16:creationId xmlns:a16="http://schemas.microsoft.com/office/drawing/2014/main" id="{00000000-0008-0000-0000-00005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47" name="Picture 155" descr="http://www.conermex.com.mx/images/pdf-opt-gris.png">
          <a:extLst>
            <a:ext uri="{FF2B5EF4-FFF2-40B4-BE49-F238E27FC236}">
              <a16:creationId xmlns:a16="http://schemas.microsoft.com/office/drawing/2014/main" id="{00000000-0008-0000-0000-00005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48" name="Picture 156" descr="http://www.conermex.com.mx/images/pdf-opt-gris.png">
          <a:extLst>
            <a:ext uri="{FF2B5EF4-FFF2-40B4-BE49-F238E27FC236}">
              <a16:creationId xmlns:a16="http://schemas.microsoft.com/office/drawing/2014/main" id="{00000000-0008-0000-0000-00005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49" name="Picture 157" descr="http://www.conermex.com.mx/images/pdf-opt-gris.png">
          <a:extLst>
            <a:ext uri="{FF2B5EF4-FFF2-40B4-BE49-F238E27FC236}">
              <a16:creationId xmlns:a16="http://schemas.microsoft.com/office/drawing/2014/main" id="{00000000-0008-0000-0000-00005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50" name="Picture 158" descr="http://www.conermex.com.mx/images/pdf-opt-gris.png">
          <a:extLst>
            <a:ext uri="{FF2B5EF4-FFF2-40B4-BE49-F238E27FC236}">
              <a16:creationId xmlns:a16="http://schemas.microsoft.com/office/drawing/2014/main" id="{00000000-0008-0000-0000-00005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51" name="Picture 159" descr="http://www.conermex.com.mx/images/pdf-opt-gris.png">
          <a:extLst>
            <a:ext uri="{FF2B5EF4-FFF2-40B4-BE49-F238E27FC236}">
              <a16:creationId xmlns:a16="http://schemas.microsoft.com/office/drawing/2014/main" id="{00000000-0008-0000-0000-00005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52" name="Picture 160" descr="http://www.conermex.com.mx/images/pdf-opt-gris.png">
          <a:extLst>
            <a:ext uri="{FF2B5EF4-FFF2-40B4-BE49-F238E27FC236}">
              <a16:creationId xmlns:a16="http://schemas.microsoft.com/office/drawing/2014/main" id="{00000000-0008-0000-0000-00006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53" name="Picture 161" descr="http://www.conermex.com.mx/images/pdf-opt-gris.png">
          <a:extLst>
            <a:ext uri="{FF2B5EF4-FFF2-40B4-BE49-F238E27FC236}">
              <a16:creationId xmlns:a16="http://schemas.microsoft.com/office/drawing/2014/main" id="{00000000-0008-0000-0000-00006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54" name="Picture 162" descr="http://www.conermex.com.mx/images/pdf-opt-gris.png">
          <a:extLst>
            <a:ext uri="{FF2B5EF4-FFF2-40B4-BE49-F238E27FC236}">
              <a16:creationId xmlns:a16="http://schemas.microsoft.com/office/drawing/2014/main" id="{00000000-0008-0000-0000-00006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55" name="Picture 163" descr="http://www.conermex.com.mx/images/pdf-opt-gris.png">
          <a:extLst>
            <a:ext uri="{FF2B5EF4-FFF2-40B4-BE49-F238E27FC236}">
              <a16:creationId xmlns:a16="http://schemas.microsoft.com/office/drawing/2014/main" id="{00000000-0008-0000-0000-00006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56" name="Picture 164" descr="http://www.conermex.com.mx/images/pdf-opt-gris.png">
          <a:extLst>
            <a:ext uri="{FF2B5EF4-FFF2-40B4-BE49-F238E27FC236}">
              <a16:creationId xmlns:a16="http://schemas.microsoft.com/office/drawing/2014/main" id="{00000000-0008-0000-0000-00006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57" name="Picture 165" descr="http://www.conermex.com.mx/images/pdf-opt-gris.png">
          <a:extLst>
            <a:ext uri="{FF2B5EF4-FFF2-40B4-BE49-F238E27FC236}">
              <a16:creationId xmlns:a16="http://schemas.microsoft.com/office/drawing/2014/main" id="{00000000-0008-0000-0000-00006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58" name="Picture 166" descr="http://www.conermex.com.mx/images/pdf-opt-gris.png">
          <a:extLst>
            <a:ext uri="{FF2B5EF4-FFF2-40B4-BE49-F238E27FC236}">
              <a16:creationId xmlns:a16="http://schemas.microsoft.com/office/drawing/2014/main" id="{00000000-0008-0000-0000-00006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59" name="Picture 167" descr="http://www.conermex.com.mx/images/pdf-opt-gris.png">
          <a:extLst>
            <a:ext uri="{FF2B5EF4-FFF2-40B4-BE49-F238E27FC236}">
              <a16:creationId xmlns:a16="http://schemas.microsoft.com/office/drawing/2014/main" id="{00000000-0008-0000-0000-00006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60" name="Picture 168" descr="http://www.conermex.com.mx/images/pdf-opt-gris.png">
          <a:extLst>
            <a:ext uri="{FF2B5EF4-FFF2-40B4-BE49-F238E27FC236}">
              <a16:creationId xmlns:a16="http://schemas.microsoft.com/office/drawing/2014/main" id="{00000000-0008-0000-0000-00006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61" name="Picture 169" descr="http://www.conermex.com.mx/images/pdf-opt-gris.png">
          <a:extLst>
            <a:ext uri="{FF2B5EF4-FFF2-40B4-BE49-F238E27FC236}">
              <a16:creationId xmlns:a16="http://schemas.microsoft.com/office/drawing/2014/main" id="{00000000-0008-0000-0000-00006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62" name="Picture 170" descr="http://www.conermex.com.mx/images/pdf-opt-gris.png">
          <a:extLst>
            <a:ext uri="{FF2B5EF4-FFF2-40B4-BE49-F238E27FC236}">
              <a16:creationId xmlns:a16="http://schemas.microsoft.com/office/drawing/2014/main" id="{00000000-0008-0000-0000-00006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63" name="Picture 171" descr="http://www.conermex.com.mx/images/pdf-opt-gris.png">
          <a:extLst>
            <a:ext uri="{FF2B5EF4-FFF2-40B4-BE49-F238E27FC236}">
              <a16:creationId xmlns:a16="http://schemas.microsoft.com/office/drawing/2014/main" id="{00000000-0008-0000-0000-00006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64" name="Picture 172" descr="http://www.conermex.com.mx/images/pdf-opt-gris.png">
          <a:extLst>
            <a:ext uri="{FF2B5EF4-FFF2-40B4-BE49-F238E27FC236}">
              <a16:creationId xmlns:a16="http://schemas.microsoft.com/office/drawing/2014/main" id="{00000000-0008-0000-0000-00006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65" name="Picture 173" descr="http://www.conermex.com.mx/images/pdf-opt-gris.png">
          <a:extLst>
            <a:ext uri="{FF2B5EF4-FFF2-40B4-BE49-F238E27FC236}">
              <a16:creationId xmlns:a16="http://schemas.microsoft.com/office/drawing/2014/main" id="{00000000-0008-0000-0000-00006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66" name="Picture 174" descr="http://www.conermex.com.mx/images/pdf-opt-gris.png">
          <a:extLst>
            <a:ext uri="{FF2B5EF4-FFF2-40B4-BE49-F238E27FC236}">
              <a16:creationId xmlns:a16="http://schemas.microsoft.com/office/drawing/2014/main" id="{00000000-0008-0000-0000-00006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67" name="Picture 175" descr="http://www.conermex.com.mx/images/pdf-opt-gris.png">
          <a:extLst>
            <a:ext uri="{FF2B5EF4-FFF2-40B4-BE49-F238E27FC236}">
              <a16:creationId xmlns:a16="http://schemas.microsoft.com/office/drawing/2014/main" id="{00000000-0008-0000-0000-00006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68" name="Picture 176" descr="http://www.conermex.com.mx/images/pdf-opt-gris.png">
          <a:extLst>
            <a:ext uri="{FF2B5EF4-FFF2-40B4-BE49-F238E27FC236}">
              <a16:creationId xmlns:a16="http://schemas.microsoft.com/office/drawing/2014/main" id="{00000000-0008-0000-0000-00007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69" name="Picture 177" descr="http://www.conermex.com.mx/images/pdf-opt-gris.png">
          <a:extLst>
            <a:ext uri="{FF2B5EF4-FFF2-40B4-BE49-F238E27FC236}">
              <a16:creationId xmlns:a16="http://schemas.microsoft.com/office/drawing/2014/main" id="{00000000-0008-0000-0000-00007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70" name="Picture 178" descr="http://www.conermex.com.mx/images/pdf-opt-gris.png">
          <a:extLst>
            <a:ext uri="{FF2B5EF4-FFF2-40B4-BE49-F238E27FC236}">
              <a16:creationId xmlns:a16="http://schemas.microsoft.com/office/drawing/2014/main" id="{00000000-0008-0000-0000-00007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71" name="Picture 179" descr="http://www.conermex.com.mx/images/pdf-opt-gris.png">
          <a:extLst>
            <a:ext uri="{FF2B5EF4-FFF2-40B4-BE49-F238E27FC236}">
              <a16:creationId xmlns:a16="http://schemas.microsoft.com/office/drawing/2014/main" id="{00000000-0008-0000-0000-00007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72" name="Picture 180" descr="http://www.conermex.com.mx/images/pdf-opt-gris.png">
          <a:extLst>
            <a:ext uri="{FF2B5EF4-FFF2-40B4-BE49-F238E27FC236}">
              <a16:creationId xmlns:a16="http://schemas.microsoft.com/office/drawing/2014/main" id="{00000000-0008-0000-0000-00007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73" name="Picture 181" descr="http://www.conermex.com.mx/images/pdf-opt-gris.png">
          <a:extLst>
            <a:ext uri="{FF2B5EF4-FFF2-40B4-BE49-F238E27FC236}">
              <a16:creationId xmlns:a16="http://schemas.microsoft.com/office/drawing/2014/main" id="{00000000-0008-0000-0000-00007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74" name="Picture 182" descr="http://www.conermex.com.mx/images/pdf-opt-gris.png">
          <a:extLst>
            <a:ext uri="{FF2B5EF4-FFF2-40B4-BE49-F238E27FC236}">
              <a16:creationId xmlns:a16="http://schemas.microsoft.com/office/drawing/2014/main" id="{00000000-0008-0000-0000-00007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75" name="Picture 183" descr="http://www.conermex.com.mx/images/pdf-opt-gris.png">
          <a:extLst>
            <a:ext uri="{FF2B5EF4-FFF2-40B4-BE49-F238E27FC236}">
              <a16:creationId xmlns:a16="http://schemas.microsoft.com/office/drawing/2014/main" id="{00000000-0008-0000-0000-00007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76" name="Picture 184" descr="http://www.conermex.com.mx/images/pdf-opt-gris.png">
          <a:extLst>
            <a:ext uri="{FF2B5EF4-FFF2-40B4-BE49-F238E27FC236}">
              <a16:creationId xmlns:a16="http://schemas.microsoft.com/office/drawing/2014/main" id="{00000000-0008-0000-0000-00007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77" name="Picture 185" descr="http://www.conermex.com.mx/images/pdf-opt-gris.png">
          <a:extLst>
            <a:ext uri="{FF2B5EF4-FFF2-40B4-BE49-F238E27FC236}">
              <a16:creationId xmlns:a16="http://schemas.microsoft.com/office/drawing/2014/main" id="{00000000-0008-0000-0000-00007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78" name="Picture 186" descr="http://www.conermex.com.mx/images/pdf-opt-gris.png">
          <a:extLst>
            <a:ext uri="{FF2B5EF4-FFF2-40B4-BE49-F238E27FC236}">
              <a16:creationId xmlns:a16="http://schemas.microsoft.com/office/drawing/2014/main" id="{00000000-0008-0000-0000-00007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79" name="Picture 187" descr="http://www.conermex.com.mx/images/pdf-opt-gris.png">
          <a:extLst>
            <a:ext uri="{FF2B5EF4-FFF2-40B4-BE49-F238E27FC236}">
              <a16:creationId xmlns:a16="http://schemas.microsoft.com/office/drawing/2014/main" id="{00000000-0008-0000-0000-00007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80" name="Picture 188" descr="http://www.conermex.com.mx/images/pdf-opt-gris.png">
          <a:extLst>
            <a:ext uri="{FF2B5EF4-FFF2-40B4-BE49-F238E27FC236}">
              <a16:creationId xmlns:a16="http://schemas.microsoft.com/office/drawing/2014/main" id="{00000000-0008-0000-0000-00007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oneCellAnchor>
    <xdr:from>
      <xdr:col>3</xdr:col>
      <xdr:colOff>0</xdr:colOff>
      <xdr:row>200</xdr:row>
      <xdr:rowOff>0</xdr:rowOff>
    </xdr:from>
    <xdr:ext cx="285750" cy="275915"/>
    <xdr:pic>
      <xdr:nvPicPr>
        <xdr:cNvPr id="381" name="Picture 189" descr="http://www.conermex.com.mx/images/pdf-opt-gris.png">
          <a:extLst>
            <a:ext uri="{FF2B5EF4-FFF2-40B4-BE49-F238E27FC236}">
              <a16:creationId xmlns:a16="http://schemas.microsoft.com/office/drawing/2014/main" id="{00000000-0008-0000-0000-00007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oneCellAnchor>
  <xdr:twoCellAnchor editAs="oneCell">
    <xdr:from>
      <xdr:col>3</xdr:col>
      <xdr:colOff>0</xdr:colOff>
      <xdr:row>200</xdr:row>
      <xdr:rowOff>0</xdr:rowOff>
    </xdr:from>
    <xdr:to>
      <xdr:col>3</xdr:col>
      <xdr:colOff>285750</xdr:colOff>
      <xdr:row>200</xdr:row>
      <xdr:rowOff>275915</xdr:rowOff>
    </xdr:to>
    <xdr:pic>
      <xdr:nvPicPr>
        <xdr:cNvPr id="382" name="Picture 190" descr="http://www.conermex.com.mx/images/pdf-opt-gris.png">
          <a:extLst>
            <a:ext uri="{FF2B5EF4-FFF2-40B4-BE49-F238E27FC236}">
              <a16:creationId xmlns:a16="http://schemas.microsoft.com/office/drawing/2014/main" id="{00000000-0008-0000-0000-00007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383" name="Picture 191" descr="http://www.conermex.com.mx/images/pdf-opt-gris.png">
          <a:extLst>
            <a:ext uri="{FF2B5EF4-FFF2-40B4-BE49-F238E27FC236}">
              <a16:creationId xmlns:a16="http://schemas.microsoft.com/office/drawing/2014/main" id="{00000000-0008-0000-0000-00007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384" name="Picture 192" descr="http://www.conermex.com.mx/images/pdf-opt-gris.png">
          <a:extLst>
            <a:ext uri="{FF2B5EF4-FFF2-40B4-BE49-F238E27FC236}">
              <a16:creationId xmlns:a16="http://schemas.microsoft.com/office/drawing/2014/main" id="{00000000-0008-0000-0000-00008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385" name="Picture 193" descr="http://www.conermex.com.mx/images/pdf-opt-gris.png">
          <a:extLst>
            <a:ext uri="{FF2B5EF4-FFF2-40B4-BE49-F238E27FC236}">
              <a16:creationId xmlns:a16="http://schemas.microsoft.com/office/drawing/2014/main" id="{00000000-0008-0000-0000-00008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386" name="Picture 194" descr="http://www.conermex.com.mx/images/pdf-opt-gris.png">
          <a:extLst>
            <a:ext uri="{FF2B5EF4-FFF2-40B4-BE49-F238E27FC236}">
              <a16:creationId xmlns:a16="http://schemas.microsoft.com/office/drawing/2014/main" id="{00000000-0008-0000-0000-00008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387" name="Picture 195" descr="http://www.conermex.com.mx/images/pdf-opt-gris.png">
          <a:extLst>
            <a:ext uri="{FF2B5EF4-FFF2-40B4-BE49-F238E27FC236}">
              <a16:creationId xmlns:a16="http://schemas.microsoft.com/office/drawing/2014/main" id="{00000000-0008-0000-0000-00008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388" name="Picture 196" descr="http://www.conermex.com.mx/images/pdf-opt-gris.png">
          <a:extLst>
            <a:ext uri="{FF2B5EF4-FFF2-40B4-BE49-F238E27FC236}">
              <a16:creationId xmlns:a16="http://schemas.microsoft.com/office/drawing/2014/main" id="{00000000-0008-0000-0000-00008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389" name="Picture 197" descr="http://www.conermex.com.mx/images/pdf-opt-gris.png">
          <a:extLst>
            <a:ext uri="{FF2B5EF4-FFF2-40B4-BE49-F238E27FC236}">
              <a16:creationId xmlns:a16="http://schemas.microsoft.com/office/drawing/2014/main" id="{00000000-0008-0000-0000-00008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390" name="Picture 198" descr="http://www.conermex.com.mx/images/pdf-opt-gris.png">
          <a:extLst>
            <a:ext uri="{FF2B5EF4-FFF2-40B4-BE49-F238E27FC236}">
              <a16:creationId xmlns:a16="http://schemas.microsoft.com/office/drawing/2014/main" id="{00000000-0008-0000-0000-00008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391" name="Picture 199" descr="http://www.conermex.com.mx/images/pdf-opt-gris.png">
          <a:extLst>
            <a:ext uri="{FF2B5EF4-FFF2-40B4-BE49-F238E27FC236}">
              <a16:creationId xmlns:a16="http://schemas.microsoft.com/office/drawing/2014/main" id="{00000000-0008-0000-0000-00008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392" name="Picture 200" descr="http://www.conermex.com.mx/images/pdf-opt-gris.png">
          <a:extLst>
            <a:ext uri="{FF2B5EF4-FFF2-40B4-BE49-F238E27FC236}">
              <a16:creationId xmlns:a16="http://schemas.microsoft.com/office/drawing/2014/main" id="{00000000-0008-0000-0000-00008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393" name="Picture 201" descr="http://www.conermex.com.mx/images/pdf-opt-gris.png">
          <a:extLst>
            <a:ext uri="{FF2B5EF4-FFF2-40B4-BE49-F238E27FC236}">
              <a16:creationId xmlns:a16="http://schemas.microsoft.com/office/drawing/2014/main" id="{00000000-0008-0000-0000-00008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394" name="Picture 202" descr="http://www.conermex.com.mx/images/pdf-opt-gris.png">
          <a:extLst>
            <a:ext uri="{FF2B5EF4-FFF2-40B4-BE49-F238E27FC236}">
              <a16:creationId xmlns:a16="http://schemas.microsoft.com/office/drawing/2014/main" id="{00000000-0008-0000-0000-00008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395" name="Picture 203" descr="http://www.conermex.com.mx/images/pdf-opt-gris.png">
          <a:extLst>
            <a:ext uri="{FF2B5EF4-FFF2-40B4-BE49-F238E27FC236}">
              <a16:creationId xmlns:a16="http://schemas.microsoft.com/office/drawing/2014/main" id="{00000000-0008-0000-0000-00008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396" name="Picture 204" descr="http://www.conermex.com.mx/images/pdf-opt-gris.png">
          <a:extLst>
            <a:ext uri="{FF2B5EF4-FFF2-40B4-BE49-F238E27FC236}">
              <a16:creationId xmlns:a16="http://schemas.microsoft.com/office/drawing/2014/main" id="{00000000-0008-0000-0000-00008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397" name="Picture 205" descr="http://www.conermex.com.mx/images/pdf-opt-gris.png">
          <a:extLst>
            <a:ext uri="{FF2B5EF4-FFF2-40B4-BE49-F238E27FC236}">
              <a16:creationId xmlns:a16="http://schemas.microsoft.com/office/drawing/2014/main" id="{00000000-0008-0000-0000-00008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398" name="Picture 206" descr="http://www.conermex.com.mx/images/pdf-opt-gris.png">
          <a:extLst>
            <a:ext uri="{FF2B5EF4-FFF2-40B4-BE49-F238E27FC236}">
              <a16:creationId xmlns:a16="http://schemas.microsoft.com/office/drawing/2014/main" id="{00000000-0008-0000-0000-00008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399" name="Picture 207" descr="http://www.conermex.com.mx/images/pdf-opt-gris.png">
          <a:extLst>
            <a:ext uri="{FF2B5EF4-FFF2-40B4-BE49-F238E27FC236}">
              <a16:creationId xmlns:a16="http://schemas.microsoft.com/office/drawing/2014/main" id="{00000000-0008-0000-0000-00008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00" name="Picture 208" descr="http://www.conermex.com.mx/images/pdf-opt-gris.png">
          <a:extLst>
            <a:ext uri="{FF2B5EF4-FFF2-40B4-BE49-F238E27FC236}">
              <a16:creationId xmlns:a16="http://schemas.microsoft.com/office/drawing/2014/main" id="{00000000-0008-0000-0000-00009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01" name="Picture 209" descr="http://www.conermex.com.mx/images/pdf-opt-gris.png">
          <a:extLst>
            <a:ext uri="{FF2B5EF4-FFF2-40B4-BE49-F238E27FC236}">
              <a16:creationId xmlns:a16="http://schemas.microsoft.com/office/drawing/2014/main" id="{00000000-0008-0000-0000-00009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02" name="Picture 210" descr="http://www.conermex.com.mx/images/pdf-opt-gris.png">
          <a:extLst>
            <a:ext uri="{FF2B5EF4-FFF2-40B4-BE49-F238E27FC236}">
              <a16:creationId xmlns:a16="http://schemas.microsoft.com/office/drawing/2014/main" id="{00000000-0008-0000-0000-00009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03" name="Picture 211" descr="http://www.conermex.com.mx/images/pdf-opt-gris.png">
          <a:extLst>
            <a:ext uri="{FF2B5EF4-FFF2-40B4-BE49-F238E27FC236}">
              <a16:creationId xmlns:a16="http://schemas.microsoft.com/office/drawing/2014/main" id="{00000000-0008-0000-0000-00009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04" name="Picture 212" descr="http://www.conermex.com.mx/images/pdf-opt-gris.png">
          <a:extLst>
            <a:ext uri="{FF2B5EF4-FFF2-40B4-BE49-F238E27FC236}">
              <a16:creationId xmlns:a16="http://schemas.microsoft.com/office/drawing/2014/main" id="{00000000-0008-0000-0000-00009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05" name="Picture 213" descr="http://www.conermex.com.mx/images/pdf-opt-gris.png">
          <a:extLst>
            <a:ext uri="{FF2B5EF4-FFF2-40B4-BE49-F238E27FC236}">
              <a16:creationId xmlns:a16="http://schemas.microsoft.com/office/drawing/2014/main" id="{00000000-0008-0000-0000-00009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06" name="Picture 214" descr="http://www.conermex.com.mx/images/pdf-opt-gris.png">
          <a:extLst>
            <a:ext uri="{FF2B5EF4-FFF2-40B4-BE49-F238E27FC236}">
              <a16:creationId xmlns:a16="http://schemas.microsoft.com/office/drawing/2014/main" id="{00000000-0008-0000-0000-00009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07" name="Picture 215" descr="http://www.conermex.com.mx/images/pdf-opt-gris.png">
          <a:extLst>
            <a:ext uri="{FF2B5EF4-FFF2-40B4-BE49-F238E27FC236}">
              <a16:creationId xmlns:a16="http://schemas.microsoft.com/office/drawing/2014/main" id="{00000000-0008-0000-0000-00009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08" name="Picture 216" descr="http://www.conermex.com.mx/images/pdf-opt-gris.png">
          <a:extLst>
            <a:ext uri="{FF2B5EF4-FFF2-40B4-BE49-F238E27FC236}">
              <a16:creationId xmlns:a16="http://schemas.microsoft.com/office/drawing/2014/main" id="{00000000-0008-0000-0000-00009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09" name="Picture 217" descr="http://www.conermex.com.mx/images/pdf-opt-gris.png">
          <a:extLst>
            <a:ext uri="{FF2B5EF4-FFF2-40B4-BE49-F238E27FC236}">
              <a16:creationId xmlns:a16="http://schemas.microsoft.com/office/drawing/2014/main" id="{00000000-0008-0000-0000-00009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10" name="Picture 218" descr="http://www.conermex.com.mx/images/pdf-opt-gris.png">
          <a:extLst>
            <a:ext uri="{FF2B5EF4-FFF2-40B4-BE49-F238E27FC236}">
              <a16:creationId xmlns:a16="http://schemas.microsoft.com/office/drawing/2014/main" id="{00000000-0008-0000-0000-00009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11" name="Picture 219" descr="http://www.conermex.com.mx/images/pdf-opt-gris.png">
          <a:extLst>
            <a:ext uri="{FF2B5EF4-FFF2-40B4-BE49-F238E27FC236}">
              <a16:creationId xmlns:a16="http://schemas.microsoft.com/office/drawing/2014/main" id="{00000000-0008-0000-0000-00009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12" name="Picture 220" descr="http://www.conermex.com.mx/images/pdf-opt-gris.png">
          <a:extLst>
            <a:ext uri="{FF2B5EF4-FFF2-40B4-BE49-F238E27FC236}">
              <a16:creationId xmlns:a16="http://schemas.microsoft.com/office/drawing/2014/main" id="{00000000-0008-0000-0000-00009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13" name="Picture 221" descr="http://www.conermex.com.mx/images/pdf-opt-gris.png">
          <a:extLst>
            <a:ext uri="{FF2B5EF4-FFF2-40B4-BE49-F238E27FC236}">
              <a16:creationId xmlns:a16="http://schemas.microsoft.com/office/drawing/2014/main" id="{00000000-0008-0000-0000-00009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14" name="Picture 222" descr="http://www.conermex.com.mx/images/pdf-opt-gris.png">
          <a:extLst>
            <a:ext uri="{FF2B5EF4-FFF2-40B4-BE49-F238E27FC236}">
              <a16:creationId xmlns:a16="http://schemas.microsoft.com/office/drawing/2014/main" id="{00000000-0008-0000-0000-00009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15" name="Picture 223" descr="http://www.conermex.com.mx/images/pdf-opt-gris.png">
          <a:extLst>
            <a:ext uri="{FF2B5EF4-FFF2-40B4-BE49-F238E27FC236}">
              <a16:creationId xmlns:a16="http://schemas.microsoft.com/office/drawing/2014/main" id="{00000000-0008-0000-0000-00009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16" name="Picture 224" descr="http://www.conermex.com.mx/images/pdf-opt-gris.png">
          <a:extLst>
            <a:ext uri="{FF2B5EF4-FFF2-40B4-BE49-F238E27FC236}">
              <a16:creationId xmlns:a16="http://schemas.microsoft.com/office/drawing/2014/main" id="{00000000-0008-0000-0000-0000A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17" name="Picture 225" descr="http://www.conermex.com.mx/images/pdf-opt-gris.png">
          <a:extLst>
            <a:ext uri="{FF2B5EF4-FFF2-40B4-BE49-F238E27FC236}">
              <a16:creationId xmlns:a16="http://schemas.microsoft.com/office/drawing/2014/main" id="{00000000-0008-0000-0000-0000A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18" name="Picture 226" descr="http://www.conermex.com.mx/images/pdf-opt-gris.png">
          <a:extLst>
            <a:ext uri="{FF2B5EF4-FFF2-40B4-BE49-F238E27FC236}">
              <a16:creationId xmlns:a16="http://schemas.microsoft.com/office/drawing/2014/main" id="{00000000-0008-0000-0000-0000A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19" name="Picture 227" descr="http://www.conermex.com.mx/images/pdf-opt-gris.png">
          <a:extLst>
            <a:ext uri="{FF2B5EF4-FFF2-40B4-BE49-F238E27FC236}">
              <a16:creationId xmlns:a16="http://schemas.microsoft.com/office/drawing/2014/main" id="{00000000-0008-0000-0000-0000A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20" name="Picture 228" descr="http://www.conermex.com.mx/images/pdf-opt-gris.png">
          <a:extLst>
            <a:ext uri="{FF2B5EF4-FFF2-40B4-BE49-F238E27FC236}">
              <a16:creationId xmlns:a16="http://schemas.microsoft.com/office/drawing/2014/main" id="{00000000-0008-0000-0000-0000A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21" name="Picture 229" descr="http://www.conermex.com.mx/images/pdf-opt-gris.png">
          <a:extLst>
            <a:ext uri="{FF2B5EF4-FFF2-40B4-BE49-F238E27FC236}">
              <a16:creationId xmlns:a16="http://schemas.microsoft.com/office/drawing/2014/main" id="{00000000-0008-0000-0000-0000A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22" name="Picture 230" descr="http://www.conermex.com.mx/images/pdf-opt-gris.png">
          <a:extLst>
            <a:ext uri="{FF2B5EF4-FFF2-40B4-BE49-F238E27FC236}">
              <a16:creationId xmlns:a16="http://schemas.microsoft.com/office/drawing/2014/main" id="{00000000-0008-0000-0000-0000A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23" name="Picture 231" descr="http://www.conermex.com.mx/images/pdf-opt-gris.png">
          <a:extLst>
            <a:ext uri="{FF2B5EF4-FFF2-40B4-BE49-F238E27FC236}">
              <a16:creationId xmlns:a16="http://schemas.microsoft.com/office/drawing/2014/main" id="{00000000-0008-0000-0000-0000A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24" name="Picture 232" descr="http://www.conermex.com.mx/images/pdf-opt-gris.png">
          <a:extLst>
            <a:ext uri="{FF2B5EF4-FFF2-40B4-BE49-F238E27FC236}">
              <a16:creationId xmlns:a16="http://schemas.microsoft.com/office/drawing/2014/main" id="{00000000-0008-0000-0000-0000A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25" name="Picture 233" descr="http://www.conermex.com.mx/images/pdf-opt-gris.png">
          <a:extLst>
            <a:ext uri="{FF2B5EF4-FFF2-40B4-BE49-F238E27FC236}">
              <a16:creationId xmlns:a16="http://schemas.microsoft.com/office/drawing/2014/main" id="{00000000-0008-0000-0000-0000A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26" name="Picture 234" descr="http://www.conermex.com.mx/images/pdf-opt-gris.png">
          <a:extLst>
            <a:ext uri="{FF2B5EF4-FFF2-40B4-BE49-F238E27FC236}">
              <a16:creationId xmlns:a16="http://schemas.microsoft.com/office/drawing/2014/main" id="{00000000-0008-0000-0000-0000A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27" name="Picture 235" descr="http://www.conermex.com.mx/images/pdf-opt-gris.png">
          <a:extLst>
            <a:ext uri="{FF2B5EF4-FFF2-40B4-BE49-F238E27FC236}">
              <a16:creationId xmlns:a16="http://schemas.microsoft.com/office/drawing/2014/main" id="{00000000-0008-0000-0000-0000A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28" name="Picture 236" descr="http://www.conermex.com.mx/images/pdf-opt.png">
          <a:hlinkClick xmlns:r="http://schemas.openxmlformats.org/officeDocument/2006/relationships" r:id="rId8" tgtFrame="_blank"/>
          <a:extLst>
            <a:ext uri="{FF2B5EF4-FFF2-40B4-BE49-F238E27FC236}">
              <a16:creationId xmlns:a16="http://schemas.microsoft.com/office/drawing/2014/main" id="{00000000-0008-0000-0000-0000AC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29" name="Picture 237" descr="http://www.conermex.com.mx/images/pdf-opt.png">
          <a:hlinkClick xmlns:r="http://schemas.openxmlformats.org/officeDocument/2006/relationships" r:id="rId9" tgtFrame="_blank"/>
          <a:extLst>
            <a:ext uri="{FF2B5EF4-FFF2-40B4-BE49-F238E27FC236}">
              <a16:creationId xmlns:a16="http://schemas.microsoft.com/office/drawing/2014/main" id="{00000000-0008-0000-0000-0000AD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30" name="Picture 238" descr="http://www.conermex.com.mx/images/pdf-opt-gris.png">
          <a:extLst>
            <a:ext uri="{FF2B5EF4-FFF2-40B4-BE49-F238E27FC236}">
              <a16:creationId xmlns:a16="http://schemas.microsoft.com/office/drawing/2014/main" id="{00000000-0008-0000-0000-0000A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31" name="Picture 239" descr="http://www.conermex.com.mx/images/pdf-opt-gris.png">
          <a:extLst>
            <a:ext uri="{FF2B5EF4-FFF2-40B4-BE49-F238E27FC236}">
              <a16:creationId xmlns:a16="http://schemas.microsoft.com/office/drawing/2014/main" id="{00000000-0008-0000-0000-0000A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32" name="Picture 240" descr="http://www.conermex.com.mx/images/pdf-opt-gris.png">
          <a:extLst>
            <a:ext uri="{FF2B5EF4-FFF2-40B4-BE49-F238E27FC236}">
              <a16:creationId xmlns:a16="http://schemas.microsoft.com/office/drawing/2014/main" id="{00000000-0008-0000-0000-0000B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33" name="Picture 241" descr="http://www.conermex.com.mx/images/pdf-opt.png">
          <a:hlinkClick xmlns:r="http://schemas.openxmlformats.org/officeDocument/2006/relationships" r:id="rId10" tgtFrame="_blank"/>
          <a:extLst>
            <a:ext uri="{FF2B5EF4-FFF2-40B4-BE49-F238E27FC236}">
              <a16:creationId xmlns:a16="http://schemas.microsoft.com/office/drawing/2014/main" id="{00000000-0008-0000-0000-0000B1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34" name="Picture 242" descr="http://www.conermex.com.mx/images/pdf-opt.png">
          <a:hlinkClick xmlns:r="http://schemas.openxmlformats.org/officeDocument/2006/relationships" r:id="rId10" tgtFrame="_blank"/>
          <a:extLst>
            <a:ext uri="{FF2B5EF4-FFF2-40B4-BE49-F238E27FC236}">
              <a16:creationId xmlns:a16="http://schemas.microsoft.com/office/drawing/2014/main" id="{00000000-0008-0000-0000-0000B2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35" name="Picture 243" descr="http://www.conermex.com.mx/images/pdf-opt.png">
          <a:hlinkClick xmlns:r="http://schemas.openxmlformats.org/officeDocument/2006/relationships" r:id="rId11" tgtFrame="_blank"/>
          <a:extLst>
            <a:ext uri="{FF2B5EF4-FFF2-40B4-BE49-F238E27FC236}">
              <a16:creationId xmlns:a16="http://schemas.microsoft.com/office/drawing/2014/main" id="{00000000-0008-0000-0000-0000B3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36" name="Picture 244" descr="http://www.conermex.com.mx/images/pdf-opt.png">
          <a:hlinkClick xmlns:r="http://schemas.openxmlformats.org/officeDocument/2006/relationships" r:id="rId11" tgtFrame="_blank"/>
          <a:extLst>
            <a:ext uri="{FF2B5EF4-FFF2-40B4-BE49-F238E27FC236}">
              <a16:creationId xmlns:a16="http://schemas.microsoft.com/office/drawing/2014/main" id="{00000000-0008-0000-0000-0000B4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37" name="Picture 245" descr="http://www.conermex.com.mx/images/pdf-opt.png">
          <a:hlinkClick xmlns:r="http://schemas.openxmlformats.org/officeDocument/2006/relationships" r:id="rId11" tgtFrame="_blank"/>
          <a:extLst>
            <a:ext uri="{FF2B5EF4-FFF2-40B4-BE49-F238E27FC236}">
              <a16:creationId xmlns:a16="http://schemas.microsoft.com/office/drawing/2014/main" id="{00000000-0008-0000-0000-0000B5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38" name="Picture 246" descr="http://www.conermex.com.mx/images/pdf-opt-gris.png">
          <a:hlinkClick xmlns:r="http://schemas.openxmlformats.org/officeDocument/2006/relationships" r:id="rId10" tgtFrame="_blank"/>
          <a:extLst>
            <a:ext uri="{FF2B5EF4-FFF2-40B4-BE49-F238E27FC236}">
              <a16:creationId xmlns:a16="http://schemas.microsoft.com/office/drawing/2014/main" id="{00000000-0008-0000-0000-0000B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39" name="Picture 247" descr="http://www.conermex.com.mx/images/pdf-opt-gris.png">
          <a:hlinkClick xmlns:r="http://schemas.openxmlformats.org/officeDocument/2006/relationships" r:id="rId10" tgtFrame="_blank"/>
          <a:extLst>
            <a:ext uri="{FF2B5EF4-FFF2-40B4-BE49-F238E27FC236}">
              <a16:creationId xmlns:a16="http://schemas.microsoft.com/office/drawing/2014/main" id="{00000000-0008-0000-0000-0000B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40" name="Picture 248" descr="http://www.conermex.com.mx/images/pdf-opt-gris.png">
          <a:extLst>
            <a:ext uri="{FF2B5EF4-FFF2-40B4-BE49-F238E27FC236}">
              <a16:creationId xmlns:a16="http://schemas.microsoft.com/office/drawing/2014/main" id="{00000000-0008-0000-0000-0000B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41" name="Picture 249" descr="http://www.conermex.com.mx/images/pdf-opt-gris.png">
          <a:extLst>
            <a:ext uri="{FF2B5EF4-FFF2-40B4-BE49-F238E27FC236}">
              <a16:creationId xmlns:a16="http://schemas.microsoft.com/office/drawing/2014/main" id="{00000000-0008-0000-0000-0000B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42" name="Picture 250" descr="http://www.conermex.com.mx/images/pdf-opt.png">
          <a:hlinkClick xmlns:r="http://schemas.openxmlformats.org/officeDocument/2006/relationships" r:id="rId12" tgtFrame="_blank"/>
          <a:extLst>
            <a:ext uri="{FF2B5EF4-FFF2-40B4-BE49-F238E27FC236}">
              <a16:creationId xmlns:a16="http://schemas.microsoft.com/office/drawing/2014/main" id="{00000000-0008-0000-0000-0000BA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43" name="Picture 251" descr="http://www.conermex.com.mx/images/pdf-opt.png">
          <a:hlinkClick xmlns:r="http://schemas.openxmlformats.org/officeDocument/2006/relationships" r:id="rId13" tgtFrame="_blank"/>
          <a:extLst>
            <a:ext uri="{FF2B5EF4-FFF2-40B4-BE49-F238E27FC236}">
              <a16:creationId xmlns:a16="http://schemas.microsoft.com/office/drawing/2014/main" id="{00000000-0008-0000-0000-0000BB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44" name="Picture 252" descr="http://www.conermex.com.mx/images/pdf-opt.png">
          <a:hlinkClick xmlns:r="http://schemas.openxmlformats.org/officeDocument/2006/relationships" r:id="rId13" tgtFrame="_blank"/>
          <a:extLst>
            <a:ext uri="{FF2B5EF4-FFF2-40B4-BE49-F238E27FC236}">
              <a16:creationId xmlns:a16="http://schemas.microsoft.com/office/drawing/2014/main" id="{00000000-0008-0000-0000-0000BC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46" name="Picture 114" descr="http://www.conermex.com.mx/images/pdf-opt.png">
          <a:hlinkClick xmlns:r="http://schemas.openxmlformats.org/officeDocument/2006/relationships" r:id="rId14" tgtFrame="_blank"/>
          <a:extLst>
            <a:ext uri="{FF2B5EF4-FFF2-40B4-BE49-F238E27FC236}">
              <a16:creationId xmlns:a16="http://schemas.microsoft.com/office/drawing/2014/main" id="{00000000-0008-0000-0000-0000BE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47" name="Picture 115" descr="http://www.conermex.com.mx/images/pdf-opt.png">
          <a:hlinkClick xmlns:r="http://schemas.openxmlformats.org/officeDocument/2006/relationships" r:id="rId15" tgtFrame="_blank"/>
          <a:extLst>
            <a:ext uri="{FF2B5EF4-FFF2-40B4-BE49-F238E27FC236}">
              <a16:creationId xmlns:a16="http://schemas.microsoft.com/office/drawing/2014/main" id="{00000000-0008-0000-0000-0000BF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48" name="Picture 116" descr="http://www.conermex.com.mx/images/pdf-opt.png">
          <a:hlinkClick xmlns:r="http://schemas.openxmlformats.org/officeDocument/2006/relationships" r:id="rId16" tgtFrame="_blank"/>
          <a:extLst>
            <a:ext uri="{FF2B5EF4-FFF2-40B4-BE49-F238E27FC236}">
              <a16:creationId xmlns:a16="http://schemas.microsoft.com/office/drawing/2014/main" id="{00000000-0008-0000-0000-0000C0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49" name="Picture 117" descr="http://www.conermex.com.mx/images/pdf-opt.png">
          <a:hlinkClick xmlns:r="http://schemas.openxmlformats.org/officeDocument/2006/relationships" r:id="rId17" tgtFrame="_blank"/>
          <a:extLst>
            <a:ext uri="{FF2B5EF4-FFF2-40B4-BE49-F238E27FC236}">
              <a16:creationId xmlns:a16="http://schemas.microsoft.com/office/drawing/2014/main" id="{00000000-0008-0000-0000-0000C1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50" name="Picture 118" descr="http://www.conermex.com.mx/images/pdf-opt.png">
          <a:hlinkClick xmlns:r="http://schemas.openxmlformats.org/officeDocument/2006/relationships" r:id="rId18" tgtFrame="_blank"/>
          <a:extLst>
            <a:ext uri="{FF2B5EF4-FFF2-40B4-BE49-F238E27FC236}">
              <a16:creationId xmlns:a16="http://schemas.microsoft.com/office/drawing/2014/main" id="{00000000-0008-0000-0000-0000C2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51" name="Picture 119" descr="http://www.conermex.com.mx/images/pdf-opt.png">
          <a:hlinkClick xmlns:r="http://schemas.openxmlformats.org/officeDocument/2006/relationships" r:id="rId19" tgtFrame="_blank"/>
          <a:extLst>
            <a:ext uri="{FF2B5EF4-FFF2-40B4-BE49-F238E27FC236}">
              <a16:creationId xmlns:a16="http://schemas.microsoft.com/office/drawing/2014/main" id="{00000000-0008-0000-0000-0000C3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52" name="Picture 120" descr="http://www.conermex.com.mx/images/pdf-opt-gris.png">
          <a:extLst>
            <a:ext uri="{FF2B5EF4-FFF2-40B4-BE49-F238E27FC236}">
              <a16:creationId xmlns:a16="http://schemas.microsoft.com/office/drawing/2014/main" id="{00000000-0008-0000-0000-0000C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53" name="Picture 121" descr="http://www.conermex.com.mx/images/pdf-opt.png">
          <a:hlinkClick xmlns:r="http://schemas.openxmlformats.org/officeDocument/2006/relationships" r:id="rId20"/>
          <a:extLst>
            <a:ext uri="{FF2B5EF4-FFF2-40B4-BE49-F238E27FC236}">
              <a16:creationId xmlns:a16="http://schemas.microsoft.com/office/drawing/2014/main" id="{00000000-0008-0000-0000-0000C5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54" name="Picture 122" descr="http://www.conermex.com.mx/images/pdf-opt-gris.png">
          <a:extLst>
            <a:ext uri="{FF2B5EF4-FFF2-40B4-BE49-F238E27FC236}">
              <a16:creationId xmlns:a16="http://schemas.microsoft.com/office/drawing/2014/main" id="{00000000-0008-0000-0000-0000C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55" name="Picture 123" descr="http://www.conermex.com.mx/images/pdf-opt-gris.png">
          <a:extLst>
            <a:ext uri="{FF2B5EF4-FFF2-40B4-BE49-F238E27FC236}">
              <a16:creationId xmlns:a16="http://schemas.microsoft.com/office/drawing/2014/main" id="{00000000-0008-0000-0000-0000C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56" name="Picture 124" descr="http://www.conermex.com.mx/images/pdf-opt-gris.png">
          <a:extLst>
            <a:ext uri="{FF2B5EF4-FFF2-40B4-BE49-F238E27FC236}">
              <a16:creationId xmlns:a16="http://schemas.microsoft.com/office/drawing/2014/main" id="{00000000-0008-0000-0000-0000C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57" name="Picture 125"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C9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58" name="Picture 126"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CA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59" name="Picture 127"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CB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60" name="Picture 128"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CC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61" name="Picture 129" descr="http://www.conermex.com.mx/images/pdf-opt-gris.png">
          <a:extLst>
            <a:ext uri="{FF2B5EF4-FFF2-40B4-BE49-F238E27FC236}">
              <a16:creationId xmlns:a16="http://schemas.microsoft.com/office/drawing/2014/main" id="{00000000-0008-0000-0000-0000C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62" name="Picture 130"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CE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63" name="Picture 131"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CF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64" name="Picture 132"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D0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65" name="Picture 133"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D1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66" name="Picture 134" descr="http://www.conermex.com.mx/images/pdf-opt.png">
          <a:hlinkClick xmlns:r="http://schemas.openxmlformats.org/officeDocument/2006/relationships" r:id="rId5" tgtFrame="_blank"/>
          <a:extLst>
            <a:ext uri="{FF2B5EF4-FFF2-40B4-BE49-F238E27FC236}">
              <a16:creationId xmlns:a16="http://schemas.microsoft.com/office/drawing/2014/main" id="{00000000-0008-0000-0000-0000D2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67" name="Picture 135" descr="http://www.conermex.com.mx/images/pdf-opt.png">
          <a:hlinkClick xmlns:r="http://schemas.openxmlformats.org/officeDocument/2006/relationships" r:id="rId5" tgtFrame="_blank"/>
          <a:extLst>
            <a:ext uri="{FF2B5EF4-FFF2-40B4-BE49-F238E27FC236}">
              <a16:creationId xmlns:a16="http://schemas.microsoft.com/office/drawing/2014/main" id="{00000000-0008-0000-0000-0000D3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68" name="Picture 136"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D4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69" name="Picture 137"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D5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70" name="Picture 138"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D6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71" name="Picture 139"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D7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72" name="Picture 140"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D8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73" name="Picture 141"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D9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74" name="Picture 142"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DA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75" name="Picture 143" descr="http://www.conermex.com.mx/images/pdf-opt.png">
          <a:hlinkClick xmlns:r="http://schemas.openxmlformats.org/officeDocument/2006/relationships" r:id="rId8" tgtFrame="_blank"/>
          <a:extLst>
            <a:ext uri="{FF2B5EF4-FFF2-40B4-BE49-F238E27FC236}">
              <a16:creationId xmlns:a16="http://schemas.microsoft.com/office/drawing/2014/main" id="{00000000-0008-0000-0000-0000DB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76" name="Picture 144" descr="http://www.conermex.com.mx/images/pdf-opt.png">
          <a:hlinkClick xmlns:r="http://schemas.openxmlformats.org/officeDocument/2006/relationships" r:id="rId9" tgtFrame="_blank"/>
          <a:extLst>
            <a:ext uri="{FF2B5EF4-FFF2-40B4-BE49-F238E27FC236}">
              <a16:creationId xmlns:a16="http://schemas.microsoft.com/office/drawing/2014/main" id="{00000000-0008-0000-0000-0000DC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77" name="Picture 145" descr="http://www.conermex.com.mx/images/pdf-opt-gris.png">
          <a:extLst>
            <a:ext uri="{FF2B5EF4-FFF2-40B4-BE49-F238E27FC236}">
              <a16:creationId xmlns:a16="http://schemas.microsoft.com/office/drawing/2014/main" id="{00000000-0008-0000-0000-0000D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78" name="Picture 146" descr="http://www.conermex.com.mx/images/pdf-opt-gris.png">
          <a:extLst>
            <a:ext uri="{FF2B5EF4-FFF2-40B4-BE49-F238E27FC236}">
              <a16:creationId xmlns:a16="http://schemas.microsoft.com/office/drawing/2014/main" id="{00000000-0008-0000-0000-0000D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79" name="Picture 147" descr="http://www.conermex.com.mx/images/pdf-opt-gris.png">
          <a:extLst>
            <a:ext uri="{FF2B5EF4-FFF2-40B4-BE49-F238E27FC236}">
              <a16:creationId xmlns:a16="http://schemas.microsoft.com/office/drawing/2014/main" id="{00000000-0008-0000-0000-0000D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80" name="Picture 148" descr="http://www.conermex.com.mx/images/pdf-opt-gris.png">
          <a:extLst>
            <a:ext uri="{FF2B5EF4-FFF2-40B4-BE49-F238E27FC236}">
              <a16:creationId xmlns:a16="http://schemas.microsoft.com/office/drawing/2014/main" id="{00000000-0008-0000-0000-0000E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81" name="Picture 149" descr="http://www.conermex.com.mx/images/pdf-opt-gris.png">
          <a:extLst>
            <a:ext uri="{FF2B5EF4-FFF2-40B4-BE49-F238E27FC236}">
              <a16:creationId xmlns:a16="http://schemas.microsoft.com/office/drawing/2014/main" id="{00000000-0008-0000-0000-0000E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82" name="Picture 150" descr="http://www.conermex.com.mx/images/pdf-opt-gris.png">
          <a:extLst>
            <a:ext uri="{FF2B5EF4-FFF2-40B4-BE49-F238E27FC236}">
              <a16:creationId xmlns:a16="http://schemas.microsoft.com/office/drawing/2014/main" id="{00000000-0008-0000-0000-0000E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83" name="Picture 151" descr="http://www.conermex.com.mx/images/pdf-opt-gris.png">
          <a:extLst>
            <a:ext uri="{FF2B5EF4-FFF2-40B4-BE49-F238E27FC236}">
              <a16:creationId xmlns:a16="http://schemas.microsoft.com/office/drawing/2014/main" id="{00000000-0008-0000-0000-0000E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84" name="Picture 152" descr="http://www.conermex.com.mx/images/pdf-opt-gris.png">
          <a:extLst>
            <a:ext uri="{FF2B5EF4-FFF2-40B4-BE49-F238E27FC236}">
              <a16:creationId xmlns:a16="http://schemas.microsoft.com/office/drawing/2014/main" id="{00000000-0008-0000-0000-0000E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85" name="Picture 153" descr="http://www.conermex.com.mx/images/pdf-opt-gris.png">
          <a:extLst>
            <a:ext uri="{FF2B5EF4-FFF2-40B4-BE49-F238E27FC236}">
              <a16:creationId xmlns:a16="http://schemas.microsoft.com/office/drawing/2014/main" id="{00000000-0008-0000-0000-0000E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86" name="Picture 154" descr="http://www.conermex.com.mx/images/pdf-opt-gris.png">
          <a:extLst>
            <a:ext uri="{FF2B5EF4-FFF2-40B4-BE49-F238E27FC236}">
              <a16:creationId xmlns:a16="http://schemas.microsoft.com/office/drawing/2014/main" id="{00000000-0008-0000-0000-0000E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87" name="Picture 155" descr="http://www.conermex.com.mx/images/pdf-opt-gris.png">
          <a:extLst>
            <a:ext uri="{FF2B5EF4-FFF2-40B4-BE49-F238E27FC236}">
              <a16:creationId xmlns:a16="http://schemas.microsoft.com/office/drawing/2014/main" id="{00000000-0008-0000-0000-0000E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88" name="Picture 156" descr="http://www.conermex.com.mx/images/pdf-opt-gris.png">
          <a:extLst>
            <a:ext uri="{FF2B5EF4-FFF2-40B4-BE49-F238E27FC236}">
              <a16:creationId xmlns:a16="http://schemas.microsoft.com/office/drawing/2014/main" id="{00000000-0008-0000-0000-0000E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89" name="Picture 157" descr="http://www.conermex.com.mx/images/pdf-opt-gris.png">
          <a:extLst>
            <a:ext uri="{FF2B5EF4-FFF2-40B4-BE49-F238E27FC236}">
              <a16:creationId xmlns:a16="http://schemas.microsoft.com/office/drawing/2014/main" id="{00000000-0008-0000-0000-0000E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90" name="Picture 158" descr="http://www.conermex.com.mx/images/pdf-opt-gris.png">
          <a:extLst>
            <a:ext uri="{FF2B5EF4-FFF2-40B4-BE49-F238E27FC236}">
              <a16:creationId xmlns:a16="http://schemas.microsoft.com/office/drawing/2014/main" id="{00000000-0008-0000-0000-0000E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91" name="Picture 159" descr="http://www.conermex.com.mx/images/pdf-opt-gris.png">
          <a:extLst>
            <a:ext uri="{FF2B5EF4-FFF2-40B4-BE49-F238E27FC236}">
              <a16:creationId xmlns:a16="http://schemas.microsoft.com/office/drawing/2014/main" id="{00000000-0008-0000-0000-0000E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92" name="Picture 160" descr="http://www.conermex.com.mx/images/pdf-opt-gris.png">
          <a:extLst>
            <a:ext uri="{FF2B5EF4-FFF2-40B4-BE49-F238E27FC236}">
              <a16:creationId xmlns:a16="http://schemas.microsoft.com/office/drawing/2014/main" id="{00000000-0008-0000-0000-0000E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93" name="Picture 161" descr="http://www.conermex.com.mx/images/pdf-opt-gris.png">
          <a:extLst>
            <a:ext uri="{FF2B5EF4-FFF2-40B4-BE49-F238E27FC236}">
              <a16:creationId xmlns:a16="http://schemas.microsoft.com/office/drawing/2014/main" id="{00000000-0008-0000-0000-0000E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94" name="Picture 162" descr="http://www.conermex.com.mx/images/pdf-opt-gris.png">
          <a:extLst>
            <a:ext uri="{FF2B5EF4-FFF2-40B4-BE49-F238E27FC236}">
              <a16:creationId xmlns:a16="http://schemas.microsoft.com/office/drawing/2014/main" id="{00000000-0008-0000-0000-0000E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95" name="Picture 163" descr="http://www.conermex.com.mx/images/pdf-opt-gris.png">
          <a:extLst>
            <a:ext uri="{FF2B5EF4-FFF2-40B4-BE49-F238E27FC236}">
              <a16:creationId xmlns:a16="http://schemas.microsoft.com/office/drawing/2014/main" id="{00000000-0008-0000-0000-0000E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96" name="Picture 164" descr="http://www.conermex.com.mx/images/pdf-opt-gris.png">
          <a:extLst>
            <a:ext uri="{FF2B5EF4-FFF2-40B4-BE49-F238E27FC236}">
              <a16:creationId xmlns:a16="http://schemas.microsoft.com/office/drawing/2014/main" id="{00000000-0008-0000-0000-0000F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97" name="Picture 165" descr="http://www.conermex.com.mx/images/pdf-opt-gris.png">
          <a:extLst>
            <a:ext uri="{FF2B5EF4-FFF2-40B4-BE49-F238E27FC236}">
              <a16:creationId xmlns:a16="http://schemas.microsoft.com/office/drawing/2014/main" id="{00000000-0008-0000-0000-0000F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98" name="Picture 166" descr="http://www.conermex.com.mx/images/pdf-opt-gris.png">
          <a:extLst>
            <a:ext uri="{FF2B5EF4-FFF2-40B4-BE49-F238E27FC236}">
              <a16:creationId xmlns:a16="http://schemas.microsoft.com/office/drawing/2014/main" id="{00000000-0008-0000-0000-0000F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499" name="Picture 167" descr="http://www.conermex.com.mx/images/pdf-opt-gris.png">
          <a:extLst>
            <a:ext uri="{FF2B5EF4-FFF2-40B4-BE49-F238E27FC236}">
              <a16:creationId xmlns:a16="http://schemas.microsoft.com/office/drawing/2014/main" id="{00000000-0008-0000-0000-0000F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00" name="Picture 168" descr="http://www.conermex.com.mx/images/pdf-opt-gris.png">
          <a:extLst>
            <a:ext uri="{FF2B5EF4-FFF2-40B4-BE49-F238E27FC236}">
              <a16:creationId xmlns:a16="http://schemas.microsoft.com/office/drawing/2014/main" id="{00000000-0008-0000-0000-0000F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01" name="Picture 169" descr="http://www.conermex.com.mx/images/pdf-opt-gris.png">
          <a:extLst>
            <a:ext uri="{FF2B5EF4-FFF2-40B4-BE49-F238E27FC236}">
              <a16:creationId xmlns:a16="http://schemas.microsoft.com/office/drawing/2014/main" id="{00000000-0008-0000-0000-0000F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02" name="Picture 170" descr="http://www.conermex.com.mx/images/pdf-opt-gris.png">
          <a:extLst>
            <a:ext uri="{FF2B5EF4-FFF2-40B4-BE49-F238E27FC236}">
              <a16:creationId xmlns:a16="http://schemas.microsoft.com/office/drawing/2014/main" id="{00000000-0008-0000-0000-0000F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03" name="Picture 171" descr="http://www.conermex.com.mx/images/pdf-opt-gris.png">
          <a:extLst>
            <a:ext uri="{FF2B5EF4-FFF2-40B4-BE49-F238E27FC236}">
              <a16:creationId xmlns:a16="http://schemas.microsoft.com/office/drawing/2014/main" id="{00000000-0008-0000-0000-0000F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04" name="Picture 172" descr="http://www.conermex.com.mx/images/pdf-opt-gris.png">
          <a:extLst>
            <a:ext uri="{FF2B5EF4-FFF2-40B4-BE49-F238E27FC236}">
              <a16:creationId xmlns:a16="http://schemas.microsoft.com/office/drawing/2014/main" id="{00000000-0008-0000-0000-0000F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05" name="Picture 173" descr="http://www.conermex.com.mx/images/pdf-opt-gris.png">
          <a:extLst>
            <a:ext uri="{FF2B5EF4-FFF2-40B4-BE49-F238E27FC236}">
              <a16:creationId xmlns:a16="http://schemas.microsoft.com/office/drawing/2014/main" id="{00000000-0008-0000-0000-0000F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06" name="Picture 174" descr="http://www.conermex.com.mx/images/pdf-opt-gris.png">
          <a:extLst>
            <a:ext uri="{FF2B5EF4-FFF2-40B4-BE49-F238E27FC236}">
              <a16:creationId xmlns:a16="http://schemas.microsoft.com/office/drawing/2014/main" id="{00000000-0008-0000-0000-0000F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07" name="Picture 175" descr="http://www.conermex.com.mx/images/pdf-opt-gris.png">
          <a:extLst>
            <a:ext uri="{FF2B5EF4-FFF2-40B4-BE49-F238E27FC236}">
              <a16:creationId xmlns:a16="http://schemas.microsoft.com/office/drawing/2014/main" id="{00000000-0008-0000-0000-0000F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08" name="Picture 176" descr="http://www.conermex.com.mx/images/pdf-opt-gris.png">
          <a:extLst>
            <a:ext uri="{FF2B5EF4-FFF2-40B4-BE49-F238E27FC236}">
              <a16:creationId xmlns:a16="http://schemas.microsoft.com/office/drawing/2014/main" id="{00000000-0008-0000-0000-0000F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09" name="Picture 177" descr="http://www.conermex.com.mx/images/pdf-opt-gris.png">
          <a:extLst>
            <a:ext uri="{FF2B5EF4-FFF2-40B4-BE49-F238E27FC236}">
              <a16:creationId xmlns:a16="http://schemas.microsoft.com/office/drawing/2014/main" id="{00000000-0008-0000-0000-0000F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10" name="Picture 178" descr="http://www.conermex.com.mx/images/pdf-opt-gris.png">
          <a:extLst>
            <a:ext uri="{FF2B5EF4-FFF2-40B4-BE49-F238E27FC236}">
              <a16:creationId xmlns:a16="http://schemas.microsoft.com/office/drawing/2014/main" id="{00000000-0008-0000-0000-0000F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11" name="Picture 179" descr="http://www.conermex.com.mx/images/pdf-opt-gris.png">
          <a:extLst>
            <a:ext uri="{FF2B5EF4-FFF2-40B4-BE49-F238E27FC236}">
              <a16:creationId xmlns:a16="http://schemas.microsoft.com/office/drawing/2014/main" id="{00000000-0008-0000-0000-0000F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12" name="Picture 180" descr="http://www.conermex.com.mx/images/pdf-opt-gris.png">
          <a:extLst>
            <a:ext uri="{FF2B5EF4-FFF2-40B4-BE49-F238E27FC236}">
              <a16:creationId xmlns:a16="http://schemas.microsoft.com/office/drawing/2014/main" id="{00000000-0008-0000-0000-000000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13" name="Picture 181" descr="http://www.conermex.com.mx/images/pdf-opt-gris.png">
          <a:extLst>
            <a:ext uri="{FF2B5EF4-FFF2-40B4-BE49-F238E27FC236}">
              <a16:creationId xmlns:a16="http://schemas.microsoft.com/office/drawing/2014/main" id="{00000000-0008-0000-0000-000001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14" name="Picture 182" descr="http://www.conermex.com.mx/images/pdf-opt-gris.png">
          <a:extLst>
            <a:ext uri="{FF2B5EF4-FFF2-40B4-BE49-F238E27FC236}">
              <a16:creationId xmlns:a16="http://schemas.microsoft.com/office/drawing/2014/main" id="{00000000-0008-0000-0000-000002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15" name="Picture 183" descr="http://www.conermex.com.mx/images/pdf-opt-gris.png">
          <a:extLst>
            <a:ext uri="{FF2B5EF4-FFF2-40B4-BE49-F238E27FC236}">
              <a16:creationId xmlns:a16="http://schemas.microsoft.com/office/drawing/2014/main" id="{00000000-0008-0000-0000-000003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16" name="Picture 184" descr="http://www.conermex.com.mx/images/pdf-opt-gris.png">
          <a:extLst>
            <a:ext uri="{FF2B5EF4-FFF2-40B4-BE49-F238E27FC236}">
              <a16:creationId xmlns:a16="http://schemas.microsoft.com/office/drawing/2014/main" id="{00000000-0008-0000-0000-000004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17" name="Picture 185" descr="http://www.conermex.com.mx/images/pdf-opt-gris.png">
          <a:extLst>
            <a:ext uri="{FF2B5EF4-FFF2-40B4-BE49-F238E27FC236}">
              <a16:creationId xmlns:a16="http://schemas.microsoft.com/office/drawing/2014/main" id="{00000000-0008-0000-0000-000005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18" name="Picture 186" descr="http://www.conermex.com.mx/images/pdf-opt-gris.png">
          <a:extLst>
            <a:ext uri="{FF2B5EF4-FFF2-40B4-BE49-F238E27FC236}">
              <a16:creationId xmlns:a16="http://schemas.microsoft.com/office/drawing/2014/main" id="{00000000-0008-0000-0000-000006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19" name="Picture 187" descr="http://www.conermex.com.mx/images/pdf-opt-gris.png">
          <a:extLst>
            <a:ext uri="{FF2B5EF4-FFF2-40B4-BE49-F238E27FC236}">
              <a16:creationId xmlns:a16="http://schemas.microsoft.com/office/drawing/2014/main" id="{00000000-0008-0000-0000-000007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20" name="Picture 188" descr="http://www.conermex.com.mx/images/pdf-opt-gris.png">
          <a:extLst>
            <a:ext uri="{FF2B5EF4-FFF2-40B4-BE49-F238E27FC236}">
              <a16:creationId xmlns:a16="http://schemas.microsoft.com/office/drawing/2014/main" id="{00000000-0008-0000-0000-000008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21" name="Picture 189" descr="http://www.conermex.com.mx/images/pdf-opt-gris.png">
          <a:extLst>
            <a:ext uri="{FF2B5EF4-FFF2-40B4-BE49-F238E27FC236}">
              <a16:creationId xmlns:a16="http://schemas.microsoft.com/office/drawing/2014/main" id="{00000000-0008-0000-0000-000009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22" name="Picture 190" descr="http://www.conermex.com.mx/images/pdf-opt-gris.png">
          <a:extLst>
            <a:ext uri="{FF2B5EF4-FFF2-40B4-BE49-F238E27FC236}">
              <a16:creationId xmlns:a16="http://schemas.microsoft.com/office/drawing/2014/main" id="{00000000-0008-0000-0000-00000A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23" name="Picture 191" descr="http://www.conermex.com.mx/images/pdf-opt-gris.png">
          <a:extLst>
            <a:ext uri="{FF2B5EF4-FFF2-40B4-BE49-F238E27FC236}">
              <a16:creationId xmlns:a16="http://schemas.microsoft.com/office/drawing/2014/main" id="{00000000-0008-0000-0000-00000B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24" name="Picture 192" descr="http://www.conermex.com.mx/images/pdf-opt-gris.png">
          <a:extLst>
            <a:ext uri="{FF2B5EF4-FFF2-40B4-BE49-F238E27FC236}">
              <a16:creationId xmlns:a16="http://schemas.microsoft.com/office/drawing/2014/main" id="{00000000-0008-0000-0000-00000C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25" name="Picture 193" descr="http://www.conermex.com.mx/images/pdf-opt-gris.png">
          <a:extLst>
            <a:ext uri="{FF2B5EF4-FFF2-40B4-BE49-F238E27FC236}">
              <a16:creationId xmlns:a16="http://schemas.microsoft.com/office/drawing/2014/main" id="{00000000-0008-0000-0000-00000D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26" name="Picture 194" descr="http://www.conermex.com.mx/images/pdf-opt-gris.png">
          <a:extLst>
            <a:ext uri="{FF2B5EF4-FFF2-40B4-BE49-F238E27FC236}">
              <a16:creationId xmlns:a16="http://schemas.microsoft.com/office/drawing/2014/main" id="{00000000-0008-0000-0000-00000E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27" name="Picture 195" descr="http://www.conermex.com.mx/images/pdf-opt-gris.png">
          <a:extLst>
            <a:ext uri="{FF2B5EF4-FFF2-40B4-BE49-F238E27FC236}">
              <a16:creationId xmlns:a16="http://schemas.microsoft.com/office/drawing/2014/main" id="{00000000-0008-0000-0000-00000F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28" name="Picture 196" descr="http://www.conermex.com.mx/images/pdf-opt-gris.png">
          <a:extLst>
            <a:ext uri="{FF2B5EF4-FFF2-40B4-BE49-F238E27FC236}">
              <a16:creationId xmlns:a16="http://schemas.microsoft.com/office/drawing/2014/main" id="{00000000-0008-0000-0000-000010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29" name="Picture 197" descr="http://www.conermex.com.mx/images/pdf-opt-gris.png">
          <a:extLst>
            <a:ext uri="{FF2B5EF4-FFF2-40B4-BE49-F238E27FC236}">
              <a16:creationId xmlns:a16="http://schemas.microsoft.com/office/drawing/2014/main" id="{00000000-0008-0000-0000-000011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30" name="Picture 198" descr="http://www.conermex.com.mx/images/pdf-opt-gris.png">
          <a:extLst>
            <a:ext uri="{FF2B5EF4-FFF2-40B4-BE49-F238E27FC236}">
              <a16:creationId xmlns:a16="http://schemas.microsoft.com/office/drawing/2014/main" id="{00000000-0008-0000-0000-000012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31" name="Picture 199" descr="http://www.conermex.com.mx/images/pdf-opt-gris.png">
          <a:extLst>
            <a:ext uri="{FF2B5EF4-FFF2-40B4-BE49-F238E27FC236}">
              <a16:creationId xmlns:a16="http://schemas.microsoft.com/office/drawing/2014/main" id="{00000000-0008-0000-0000-000013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32" name="Picture 200" descr="http://www.conermex.com.mx/images/pdf-opt-gris.png">
          <a:extLst>
            <a:ext uri="{FF2B5EF4-FFF2-40B4-BE49-F238E27FC236}">
              <a16:creationId xmlns:a16="http://schemas.microsoft.com/office/drawing/2014/main" id="{00000000-0008-0000-0000-000014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33" name="Picture 201" descr="http://www.conermex.com.mx/images/pdf-opt-gris.png">
          <a:extLst>
            <a:ext uri="{FF2B5EF4-FFF2-40B4-BE49-F238E27FC236}">
              <a16:creationId xmlns:a16="http://schemas.microsoft.com/office/drawing/2014/main" id="{00000000-0008-0000-0000-000015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34" name="Picture 202" descr="http://www.conermex.com.mx/images/pdf-opt-gris.png">
          <a:extLst>
            <a:ext uri="{FF2B5EF4-FFF2-40B4-BE49-F238E27FC236}">
              <a16:creationId xmlns:a16="http://schemas.microsoft.com/office/drawing/2014/main" id="{00000000-0008-0000-0000-000016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35" name="Picture 203" descr="http://www.conermex.com.mx/images/pdf-opt-gris.png">
          <a:extLst>
            <a:ext uri="{FF2B5EF4-FFF2-40B4-BE49-F238E27FC236}">
              <a16:creationId xmlns:a16="http://schemas.microsoft.com/office/drawing/2014/main" id="{00000000-0008-0000-0000-000017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36" name="Picture 204" descr="http://www.conermex.com.mx/images/pdf-opt-gris.png">
          <a:extLst>
            <a:ext uri="{FF2B5EF4-FFF2-40B4-BE49-F238E27FC236}">
              <a16:creationId xmlns:a16="http://schemas.microsoft.com/office/drawing/2014/main" id="{00000000-0008-0000-0000-000018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37" name="Picture 205" descr="http://www.conermex.com.mx/images/pdf-opt-gris.png">
          <a:extLst>
            <a:ext uri="{FF2B5EF4-FFF2-40B4-BE49-F238E27FC236}">
              <a16:creationId xmlns:a16="http://schemas.microsoft.com/office/drawing/2014/main" id="{00000000-0008-0000-0000-000019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38" name="Picture 206" descr="http://www.conermex.com.mx/images/pdf-opt-gris.png">
          <a:extLst>
            <a:ext uri="{FF2B5EF4-FFF2-40B4-BE49-F238E27FC236}">
              <a16:creationId xmlns:a16="http://schemas.microsoft.com/office/drawing/2014/main" id="{00000000-0008-0000-0000-00001A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39" name="Picture 207" descr="http://www.conermex.com.mx/images/pdf-opt-gris.png">
          <a:extLst>
            <a:ext uri="{FF2B5EF4-FFF2-40B4-BE49-F238E27FC236}">
              <a16:creationId xmlns:a16="http://schemas.microsoft.com/office/drawing/2014/main" id="{00000000-0008-0000-0000-00001B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40" name="Picture 208" descr="http://www.conermex.com.mx/images/pdf-opt-gris.png">
          <a:extLst>
            <a:ext uri="{FF2B5EF4-FFF2-40B4-BE49-F238E27FC236}">
              <a16:creationId xmlns:a16="http://schemas.microsoft.com/office/drawing/2014/main" id="{00000000-0008-0000-0000-00001C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41" name="Picture 209" descr="http://www.conermex.com.mx/images/pdf-opt-gris.png">
          <a:extLst>
            <a:ext uri="{FF2B5EF4-FFF2-40B4-BE49-F238E27FC236}">
              <a16:creationId xmlns:a16="http://schemas.microsoft.com/office/drawing/2014/main" id="{00000000-0008-0000-0000-00001D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42" name="Picture 210" descr="http://www.conermex.com.mx/images/pdf-opt-gris.png">
          <a:extLst>
            <a:ext uri="{FF2B5EF4-FFF2-40B4-BE49-F238E27FC236}">
              <a16:creationId xmlns:a16="http://schemas.microsoft.com/office/drawing/2014/main" id="{00000000-0008-0000-0000-00001E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43" name="Picture 211" descr="http://www.conermex.com.mx/images/pdf-opt-gris.png">
          <a:extLst>
            <a:ext uri="{FF2B5EF4-FFF2-40B4-BE49-F238E27FC236}">
              <a16:creationId xmlns:a16="http://schemas.microsoft.com/office/drawing/2014/main" id="{00000000-0008-0000-0000-00001F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44" name="Picture 212" descr="http://www.conermex.com.mx/images/pdf-opt-gris.png">
          <a:extLst>
            <a:ext uri="{FF2B5EF4-FFF2-40B4-BE49-F238E27FC236}">
              <a16:creationId xmlns:a16="http://schemas.microsoft.com/office/drawing/2014/main" id="{00000000-0008-0000-0000-000020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45" name="Picture 213" descr="http://www.conermex.com.mx/images/pdf-opt-gris.png">
          <a:extLst>
            <a:ext uri="{FF2B5EF4-FFF2-40B4-BE49-F238E27FC236}">
              <a16:creationId xmlns:a16="http://schemas.microsoft.com/office/drawing/2014/main" id="{00000000-0008-0000-0000-000021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46" name="Picture 214" descr="http://www.conermex.com.mx/images/pdf-opt-gris.png">
          <a:extLst>
            <a:ext uri="{FF2B5EF4-FFF2-40B4-BE49-F238E27FC236}">
              <a16:creationId xmlns:a16="http://schemas.microsoft.com/office/drawing/2014/main" id="{00000000-0008-0000-0000-000022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47" name="Picture 215" descr="http://www.conermex.com.mx/images/pdf-opt-gris.png">
          <a:extLst>
            <a:ext uri="{FF2B5EF4-FFF2-40B4-BE49-F238E27FC236}">
              <a16:creationId xmlns:a16="http://schemas.microsoft.com/office/drawing/2014/main" id="{00000000-0008-0000-0000-000023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48" name="Picture 216" descr="http://www.conermex.com.mx/images/pdf-opt-gris.png">
          <a:extLst>
            <a:ext uri="{FF2B5EF4-FFF2-40B4-BE49-F238E27FC236}">
              <a16:creationId xmlns:a16="http://schemas.microsoft.com/office/drawing/2014/main" id="{00000000-0008-0000-0000-000024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49" name="Picture 217" descr="http://www.conermex.com.mx/images/pdf-opt-gris.png">
          <a:extLst>
            <a:ext uri="{FF2B5EF4-FFF2-40B4-BE49-F238E27FC236}">
              <a16:creationId xmlns:a16="http://schemas.microsoft.com/office/drawing/2014/main" id="{00000000-0008-0000-0000-000025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50" name="Picture 218" descr="http://www.conermex.com.mx/images/pdf-opt-gris.png">
          <a:extLst>
            <a:ext uri="{FF2B5EF4-FFF2-40B4-BE49-F238E27FC236}">
              <a16:creationId xmlns:a16="http://schemas.microsoft.com/office/drawing/2014/main" id="{00000000-0008-0000-0000-000026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51" name="Picture 219" descr="http://www.conermex.com.mx/images/pdf-opt-gris.png">
          <a:extLst>
            <a:ext uri="{FF2B5EF4-FFF2-40B4-BE49-F238E27FC236}">
              <a16:creationId xmlns:a16="http://schemas.microsoft.com/office/drawing/2014/main" id="{00000000-0008-0000-0000-000027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52" name="Picture 220" descr="http://www.conermex.com.mx/images/pdf-opt-gris.png">
          <a:extLst>
            <a:ext uri="{FF2B5EF4-FFF2-40B4-BE49-F238E27FC236}">
              <a16:creationId xmlns:a16="http://schemas.microsoft.com/office/drawing/2014/main" id="{00000000-0008-0000-0000-000028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53" name="Picture 221" descr="http://www.conermex.com.mx/images/pdf-opt-gris.png">
          <a:extLst>
            <a:ext uri="{FF2B5EF4-FFF2-40B4-BE49-F238E27FC236}">
              <a16:creationId xmlns:a16="http://schemas.microsoft.com/office/drawing/2014/main" id="{00000000-0008-0000-0000-000029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54" name="Picture 222" descr="http://www.conermex.com.mx/images/pdf-opt-gris.png">
          <a:extLst>
            <a:ext uri="{FF2B5EF4-FFF2-40B4-BE49-F238E27FC236}">
              <a16:creationId xmlns:a16="http://schemas.microsoft.com/office/drawing/2014/main" id="{00000000-0008-0000-0000-00002A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55" name="Picture 223" descr="http://www.conermex.com.mx/images/pdf-opt-gris.png">
          <a:extLst>
            <a:ext uri="{FF2B5EF4-FFF2-40B4-BE49-F238E27FC236}">
              <a16:creationId xmlns:a16="http://schemas.microsoft.com/office/drawing/2014/main" id="{00000000-0008-0000-0000-00002B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56" name="Picture 224" descr="http://www.conermex.com.mx/images/pdf-opt-gris.png">
          <a:extLst>
            <a:ext uri="{FF2B5EF4-FFF2-40B4-BE49-F238E27FC236}">
              <a16:creationId xmlns:a16="http://schemas.microsoft.com/office/drawing/2014/main" id="{00000000-0008-0000-0000-00002C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557" name="Picture 225" descr="http://www.conermex.com.mx/images/pdf-opt-gris.png">
          <a:extLst>
            <a:ext uri="{FF2B5EF4-FFF2-40B4-BE49-F238E27FC236}">
              <a16:creationId xmlns:a16="http://schemas.microsoft.com/office/drawing/2014/main" id="{00000000-0008-0000-0000-00002D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466850" y="124834650"/>
          <a:ext cx="285750" cy="275915"/>
        </a:xfrm>
        <a:prstGeom prst="rect">
          <a:avLst/>
        </a:prstGeom>
        <a:noFill/>
      </xdr:spPr>
    </xdr:pic>
    <xdr:clientData/>
  </xdr:twoCellAnchor>
  <xdr:oneCellAnchor>
    <xdr:from>
      <xdr:col>3</xdr:col>
      <xdr:colOff>0</xdr:colOff>
      <xdr:row>200</xdr:row>
      <xdr:rowOff>0</xdr:rowOff>
    </xdr:from>
    <xdr:ext cx="285750" cy="275915"/>
    <xdr:pic>
      <xdr:nvPicPr>
        <xdr:cNvPr id="445" name="Picture 123" descr="http://www.conermex.com.mx/images/pdf-opt-gris.png">
          <a:extLst>
            <a:ext uri="{FF2B5EF4-FFF2-40B4-BE49-F238E27FC236}">
              <a16:creationId xmlns:a16="http://schemas.microsoft.com/office/drawing/2014/main" id="{00000000-0008-0000-0000-0000A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58" name="Picture 124" descr="http://www.conermex.com.mx/images/pdf-opt-gris.png">
          <a:extLst>
            <a:ext uri="{FF2B5EF4-FFF2-40B4-BE49-F238E27FC236}">
              <a16:creationId xmlns:a16="http://schemas.microsoft.com/office/drawing/2014/main" id="{00000000-0008-0000-0000-0000B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59" name="Picture 125"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B1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60" name="Picture 126"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B2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61" name="Picture 127"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B3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62" name="Picture 128"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B4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63" name="Picture 129" descr="http://www.conermex.com.mx/images/pdf-opt-gris.png">
          <a:extLst>
            <a:ext uri="{FF2B5EF4-FFF2-40B4-BE49-F238E27FC236}">
              <a16:creationId xmlns:a16="http://schemas.microsoft.com/office/drawing/2014/main" id="{00000000-0008-0000-0000-0000B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64" name="Picture 130"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B6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65" name="Picture 131"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B7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66" name="Picture 132"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B8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67" name="Picture 133"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B9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68" name="Picture 134" descr="http://www.conermex.com.mx/images/pdf-opt.png">
          <a:hlinkClick xmlns:r="http://schemas.openxmlformats.org/officeDocument/2006/relationships" r:id="rId5" tgtFrame="_blank"/>
          <a:extLst>
            <a:ext uri="{FF2B5EF4-FFF2-40B4-BE49-F238E27FC236}">
              <a16:creationId xmlns:a16="http://schemas.microsoft.com/office/drawing/2014/main" id="{00000000-0008-0000-0000-0000BA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69" name="Picture 135" descr="http://www.conermex.com.mx/images/pdf-opt.png">
          <a:hlinkClick xmlns:r="http://schemas.openxmlformats.org/officeDocument/2006/relationships" r:id="rId5" tgtFrame="_blank"/>
          <a:extLst>
            <a:ext uri="{FF2B5EF4-FFF2-40B4-BE49-F238E27FC236}">
              <a16:creationId xmlns:a16="http://schemas.microsoft.com/office/drawing/2014/main" id="{00000000-0008-0000-0000-0000BB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70" name="Picture 136"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BC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71" name="Picture 137"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BD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72" name="Picture 138"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BE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73" name="Picture 139"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BF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74" name="Picture 140"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C0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75" name="Picture 141"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C1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76" name="Picture 142"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C2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77" name="Picture 143" descr="http://www.conermex.com.mx/images/pdf-opt.png">
          <a:hlinkClick xmlns:r="http://schemas.openxmlformats.org/officeDocument/2006/relationships" r:id="rId8" tgtFrame="_blank"/>
          <a:extLst>
            <a:ext uri="{FF2B5EF4-FFF2-40B4-BE49-F238E27FC236}">
              <a16:creationId xmlns:a16="http://schemas.microsoft.com/office/drawing/2014/main" id="{00000000-0008-0000-0000-0000C3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78" name="Picture 144" descr="http://www.conermex.com.mx/images/pdf-opt.png">
          <a:hlinkClick xmlns:r="http://schemas.openxmlformats.org/officeDocument/2006/relationships" r:id="rId9" tgtFrame="_blank"/>
          <a:extLst>
            <a:ext uri="{FF2B5EF4-FFF2-40B4-BE49-F238E27FC236}">
              <a16:creationId xmlns:a16="http://schemas.microsoft.com/office/drawing/2014/main" id="{00000000-0008-0000-0000-0000C4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79" name="Picture 145" descr="http://www.conermex.com.mx/images/pdf-opt-gris.png">
          <a:extLst>
            <a:ext uri="{FF2B5EF4-FFF2-40B4-BE49-F238E27FC236}">
              <a16:creationId xmlns:a16="http://schemas.microsoft.com/office/drawing/2014/main" id="{00000000-0008-0000-0000-0000C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80" name="Picture 146" descr="http://www.conermex.com.mx/images/pdf-opt-gris.png">
          <a:extLst>
            <a:ext uri="{FF2B5EF4-FFF2-40B4-BE49-F238E27FC236}">
              <a16:creationId xmlns:a16="http://schemas.microsoft.com/office/drawing/2014/main" id="{00000000-0008-0000-0000-0000C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81" name="Picture 147" descr="http://www.conermex.com.mx/images/pdf-opt-gris.png">
          <a:extLst>
            <a:ext uri="{FF2B5EF4-FFF2-40B4-BE49-F238E27FC236}">
              <a16:creationId xmlns:a16="http://schemas.microsoft.com/office/drawing/2014/main" id="{00000000-0008-0000-0000-0000C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82" name="Picture 148" descr="http://www.conermex.com.mx/images/pdf-opt-gris.png">
          <a:extLst>
            <a:ext uri="{FF2B5EF4-FFF2-40B4-BE49-F238E27FC236}">
              <a16:creationId xmlns:a16="http://schemas.microsoft.com/office/drawing/2014/main" id="{00000000-0008-0000-0000-0000C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83" name="Picture 149" descr="http://www.conermex.com.mx/images/pdf-opt-gris.png">
          <a:extLst>
            <a:ext uri="{FF2B5EF4-FFF2-40B4-BE49-F238E27FC236}">
              <a16:creationId xmlns:a16="http://schemas.microsoft.com/office/drawing/2014/main" id="{00000000-0008-0000-0000-0000C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84" name="Picture 150" descr="http://www.conermex.com.mx/images/pdf-opt-gris.png">
          <a:extLst>
            <a:ext uri="{FF2B5EF4-FFF2-40B4-BE49-F238E27FC236}">
              <a16:creationId xmlns:a16="http://schemas.microsoft.com/office/drawing/2014/main" id="{00000000-0008-0000-0000-0000C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85" name="Picture 151" descr="http://www.conermex.com.mx/images/pdf-opt-gris.png">
          <a:extLst>
            <a:ext uri="{FF2B5EF4-FFF2-40B4-BE49-F238E27FC236}">
              <a16:creationId xmlns:a16="http://schemas.microsoft.com/office/drawing/2014/main" id="{00000000-0008-0000-0000-0000C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86" name="Picture 152" descr="http://www.conermex.com.mx/images/pdf-opt-gris.png">
          <a:extLst>
            <a:ext uri="{FF2B5EF4-FFF2-40B4-BE49-F238E27FC236}">
              <a16:creationId xmlns:a16="http://schemas.microsoft.com/office/drawing/2014/main" id="{00000000-0008-0000-0000-0000C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87" name="Picture 153" descr="http://www.conermex.com.mx/images/pdf-opt-gris.png">
          <a:extLst>
            <a:ext uri="{FF2B5EF4-FFF2-40B4-BE49-F238E27FC236}">
              <a16:creationId xmlns:a16="http://schemas.microsoft.com/office/drawing/2014/main" id="{00000000-0008-0000-0000-0000C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88" name="Picture 154" descr="http://www.conermex.com.mx/images/pdf-opt-gris.png">
          <a:extLst>
            <a:ext uri="{FF2B5EF4-FFF2-40B4-BE49-F238E27FC236}">
              <a16:creationId xmlns:a16="http://schemas.microsoft.com/office/drawing/2014/main" id="{00000000-0008-0000-0000-0000C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89" name="Picture 155" descr="http://www.conermex.com.mx/images/pdf-opt-gris.png">
          <a:extLst>
            <a:ext uri="{FF2B5EF4-FFF2-40B4-BE49-F238E27FC236}">
              <a16:creationId xmlns:a16="http://schemas.microsoft.com/office/drawing/2014/main" id="{00000000-0008-0000-0000-0000C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90" name="Picture 156" descr="http://www.conermex.com.mx/images/pdf-opt-gris.png">
          <a:extLst>
            <a:ext uri="{FF2B5EF4-FFF2-40B4-BE49-F238E27FC236}">
              <a16:creationId xmlns:a16="http://schemas.microsoft.com/office/drawing/2014/main" id="{00000000-0008-0000-0000-0000D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91" name="Picture 157" descr="http://www.conermex.com.mx/images/pdf-opt-gris.png">
          <a:extLst>
            <a:ext uri="{FF2B5EF4-FFF2-40B4-BE49-F238E27FC236}">
              <a16:creationId xmlns:a16="http://schemas.microsoft.com/office/drawing/2014/main" id="{00000000-0008-0000-0000-0000D1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92" name="Picture 158" descr="http://www.conermex.com.mx/images/pdf-opt-gris.png">
          <a:extLst>
            <a:ext uri="{FF2B5EF4-FFF2-40B4-BE49-F238E27FC236}">
              <a16:creationId xmlns:a16="http://schemas.microsoft.com/office/drawing/2014/main" id="{00000000-0008-0000-0000-0000D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93" name="Picture 159" descr="http://www.conermex.com.mx/images/pdf-opt-gris.png">
          <a:extLst>
            <a:ext uri="{FF2B5EF4-FFF2-40B4-BE49-F238E27FC236}">
              <a16:creationId xmlns:a16="http://schemas.microsoft.com/office/drawing/2014/main" id="{00000000-0008-0000-0000-0000D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94" name="Picture 160" descr="http://www.conermex.com.mx/images/pdf-opt-gris.png">
          <a:extLst>
            <a:ext uri="{FF2B5EF4-FFF2-40B4-BE49-F238E27FC236}">
              <a16:creationId xmlns:a16="http://schemas.microsoft.com/office/drawing/2014/main" id="{00000000-0008-0000-0000-0000D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95" name="Picture 161" descr="http://www.conermex.com.mx/images/pdf-opt-gris.png">
          <a:extLst>
            <a:ext uri="{FF2B5EF4-FFF2-40B4-BE49-F238E27FC236}">
              <a16:creationId xmlns:a16="http://schemas.microsoft.com/office/drawing/2014/main" id="{00000000-0008-0000-0000-0000D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96" name="Picture 162" descr="http://www.conermex.com.mx/images/pdf-opt-gris.png">
          <a:extLst>
            <a:ext uri="{FF2B5EF4-FFF2-40B4-BE49-F238E27FC236}">
              <a16:creationId xmlns:a16="http://schemas.microsoft.com/office/drawing/2014/main" id="{00000000-0008-0000-0000-0000D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97" name="Picture 163" descr="http://www.conermex.com.mx/images/pdf-opt-gris.png">
          <a:extLst>
            <a:ext uri="{FF2B5EF4-FFF2-40B4-BE49-F238E27FC236}">
              <a16:creationId xmlns:a16="http://schemas.microsoft.com/office/drawing/2014/main" id="{00000000-0008-0000-0000-0000D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98" name="Picture 164" descr="http://www.conermex.com.mx/images/pdf-opt-gris.png">
          <a:extLst>
            <a:ext uri="{FF2B5EF4-FFF2-40B4-BE49-F238E27FC236}">
              <a16:creationId xmlns:a16="http://schemas.microsoft.com/office/drawing/2014/main" id="{00000000-0008-0000-0000-0000D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599" name="Picture 165" descr="http://www.conermex.com.mx/images/pdf-opt-gris.png">
          <a:extLst>
            <a:ext uri="{FF2B5EF4-FFF2-40B4-BE49-F238E27FC236}">
              <a16:creationId xmlns:a16="http://schemas.microsoft.com/office/drawing/2014/main" id="{00000000-0008-0000-0000-0000D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00" name="Picture 166" descr="http://www.conermex.com.mx/images/pdf-opt-gris.png">
          <a:extLst>
            <a:ext uri="{FF2B5EF4-FFF2-40B4-BE49-F238E27FC236}">
              <a16:creationId xmlns:a16="http://schemas.microsoft.com/office/drawing/2014/main" id="{00000000-0008-0000-0000-0000D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01" name="Picture 167" descr="http://www.conermex.com.mx/images/pdf-opt-gris.png">
          <a:extLst>
            <a:ext uri="{FF2B5EF4-FFF2-40B4-BE49-F238E27FC236}">
              <a16:creationId xmlns:a16="http://schemas.microsoft.com/office/drawing/2014/main" id="{00000000-0008-0000-0000-0000D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02" name="Picture 168" descr="http://www.conermex.com.mx/images/pdf-opt-gris.png">
          <a:extLst>
            <a:ext uri="{FF2B5EF4-FFF2-40B4-BE49-F238E27FC236}">
              <a16:creationId xmlns:a16="http://schemas.microsoft.com/office/drawing/2014/main" id="{00000000-0008-0000-0000-0000D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03" name="Picture 169" descr="http://www.conermex.com.mx/images/pdf-opt-gris.png">
          <a:extLst>
            <a:ext uri="{FF2B5EF4-FFF2-40B4-BE49-F238E27FC236}">
              <a16:creationId xmlns:a16="http://schemas.microsoft.com/office/drawing/2014/main" id="{00000000-0008-0000-0000-0000D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04" name="Picture 170" descr="http://www.conermex.com.mx/images/pdf-opt-gris.png">
          <a:extLst>
            <a:ext uri="{FF2B5EF4-FFF2-40B4-BE49-F238E27FC236}">
              <a16:creationId xmlns:a16="http://schemas.microsoft.com/office/drawing/2014/main" id="{00000000-0008-0000-0000-0000D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05" name="Picture 171" descr="http://www.conermex.com.mx/images/pdf-opt-gris.png">
          <a:extLst>
            <a:ext uri="{FF2B5EF4-FFF2-40B4-BE49-F238E27FC236}">
              <a16:creationId xmlns:a16="http://schemas.microsoft.com/office/drawing/2014/main" id="{00000000-0008-0000-0000-0000D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06" name="Picture 172" descr="http://www.conermex.com.mx/images/pdf-opt-gris.png">
          <a:extLst>
            <a:ext uri="{FF2B5EF4-FFF2-40B4-BE49-F238E27FC236}">
              <a16:creationId xmlns:a16="http://schemas.microsoft.com/office/drawing/2014/main" id="{00000000-0008-0000-0000-0000E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07" name="Picture 173" descr="http://www.conermex.com.mx/images/pdf-opt-gris.png">
          <a:extLst>
            <a:ext uri="{FF2B5EF4-FFF2-40B4-BE49-F238E27FC236}">
              <a16:creationId xmlns:a16="http://schemas.microsoft.com/office/drawing/2014/main" id="{00000000-0008-0000-0000-0000E1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08" name="Picture 174" descr="http://www.conermex.com.mx/images/pdf-opt-gris.png">
          <a:extLst>
            <a:ext uri="{FF2B5EF4-FFF2-40B4-BE49-F238E27FC236}">
              <a16:creationId xmlns:a16="http://schemas.microsoft.com/office/drawing/2014/main" id="{00000000-0008-0000-0000-0000E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09" name="Picture 175" descr="http://www.conermex.com.mx/images/pdf-opt-gris.png">
          <a:extLst>
            <a:ext uri="{FF2B5EF4-FFF2-40B4-BE49-F238E27FC236}">
              <a16:creationId xmlns:a16="http://schemas.microsoft.com/office/drawing/2014/main" id="{00000000-0008-0000-0000-0000E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10" name="Picture 176" descr="http://www.conermex.com.mx/images/pdf-opt-gris.png">
          <a:extLst>
            <a:ext uri="{FF2B5EF4-FFF2-40B4-BE49-F238E27FC236}">
              <a16:creationId xmlns:a16="http://schemas.microsoft.com/office/drawing/2014/main" id="{00000000-0008-0000-0000-0000E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11" name="Picture 177" descr="http://www.conermex.com.mx/images/pdf-opt-gris.png">
          <a:extLst>
            <a:ext uri="{FF2B5EF4-FFF2-40B4-BE49-F238E27FC236}">
              <a16:creationId xmlns:a16="http://schemas.microsoft.com/office/drawing/2014/main" id="{00000000-0008-0000-0000-0000E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12" name="Picture 178" descr="http://www.conermex.com.mx/images/pdf-opt-gris.png">
          <a:extLst>
            <a:ext uri="{FF2B5EF4-FFF2-40B4-BE49-F238E27FC236}">
              <a16:creationId xmlns:a16="http://schemas.microsoft.com/office/drawing/2014/main" id="{00000000-0008-0000-0000-0000E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13" name="Picture 179" descr="http://www.conermex.com.mx/images/pdf-opt-gris.png">
          <a:extLst>
            <a:ext uri="{FF2B5EF4-FFF2-40B4-BE49-F238E27FC236}">
              <a16:creationId xmlns:a16="http://schemas.microsoft.com/office/drawing/2014/main" id="{00000000-0008-0000-0000-0000E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14" name="Picture 180" descr="http://www.conermex.com.mx/images/pdf-opt-gris.png">
          <a:extLst>
            <a:ext uri="{FF2B5EF4-FFF2-40B4-BE49-F238E27FC236}">
              <a16:creationId xmlns:a16="http://schemas.microsoft.com/office/drawing/2014/main" id="{00000000-0008-0000-0000-0000E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15" name="Picture 181" descr="http://www.conermex.com.mx/images/pdf-opt-gris.png">
          <a:extLst>
            <a:ext uri="{FF2B5EF4-FFF2-40B4-BE49-F238E27FC236}">
              <a16:creationId xmlns:a16="http://schemas.microsoft.com/office/drawing/2014/main" id="{00000000-0008-0000-0000-0000E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16" name="Picture 182" descr="http://www.conermex.com.mx/images/pdf-opt-gris.png">
          <a:extLst>
            <a:ext uri="{FF2B5EF4-FFF2-40B4-BE49-F238E27FC236}">
              <a16:creationId xmlns:a16="http://schemas.microsoft.com/office/drawing/2014/main" id="{00000000-0008-0000-0000-0000E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17" name="Picture 183" descr="http://www.conermex.com.mx/images/pdf-opt-gris.png">
          <a:extLst>
            <a:ext uri="{FF2B5EF4-FFF2-40B4-BE49-F238E27FC236}">
              <a16:creationId xmlns:a16="http://schemas.microsoft.com/office/drawing/2014/main" id="{00000000-0008-0000-0000-0000E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18" name="Picture 184" descr="http://www.conermex.com.mx/images/pdf-opt-gris.png">
          <a:extLst>
            <a:ext uri="{FF2B5EF4-FFF2-40B4-BE49-F238E27FC236}">
              <a16:creationId xmlns:a16="http://schemas.microsoft.com/office/drawing/2014/main" id="{00000000-0008-0000-0000-0000E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19" name="Picture 185" descr="http://www.conermex.com.mx/images/pdf-opt-gris.png">
          <a:extLst>
            <a:ext uri="{FF2B5EF4-FFF2-40B4-BE49-F238E27FC236}">
              <a16:creationId xmlns:a16="http://schemas.microsoft.com/office/drawing/2014/main" id="{00000000-0008-0000-0000-0000E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20" name="Picture 186" descr="http://www.conermex.com.mx/images/pdf-opt-gris.png">
          <a:extLst>
            <a:ext uri="{FF2B5EF4-FFF2-40B4-BE49-F238E27FC236}">
              <a16:creationId xmlns:a16="http://schemas.microsoft.com/office/drawing/2014/main" id="{00000000-0008-0000-0000-0000E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21" name="Picture 187" descr="http://www.conermex.com.mx/images/pdf-opt-gris.png">
          <a:extLst>
            <a:ext uri="{FF2B5EF4-FFF2-40B4-BE49-F238E27FC236}">
              <a16:creationId xmlns:a16="http://schemas.microsoft.com/office/drawing/2014/main" id="{00000000-0008-0000-0000-0000E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22" name="Picture 188" descr="http://www.conermex.com.mx/images/pdf-opt-gris.png">
          <a:extLst>
            <a:ext uri="{FF2B5EF4-FFF2-40B4-BE49-F238E27FC236}">
              <a16:creationId xmlns:a16="http://schemas.microsoft.com/office/drawing/2014/main" id="{00000000-0008-0000-0000-0000F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23" name="Picture 189" descr="http://www.conermex.com.mx/images/pdf-opt-gris.png">
          <a:extLst>
            <a:ext uri="{FF2B5EF4-FFF2-40B4-BE49-F238E27FC236}">
              <a16:creationId xmlns:a16="http://schemas.microsoft.com/office/drawing/2014/main" id="{00000000-0008-0000-0000-0000F1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24" name="Picture 190" descr="http://www.conermex.com.mx/images/pdf-opt-gris.png">
          <a:extLst>
            <a:ext uri="{FF2B5EF4-FFF2-40B4-BE49-F238E27FC236}">
              <a16:creationId xmlns:a16="http://schemas.microsoft.com/office/drawing/2014/main" id="{00000000-0008-0000-0000-0000F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25" name="Picture 191" descr="http://www.conermex.com.mx/images/pdf-opt-gris.png">
          <a:extLst>
            <a:ext uri="{FF2B5EF4-FFF2-40B4-BE49-F238E27FC236}">
              <a16:creationId xmlns:a16="http://schemas.microsoft.com/office/drawing/2014/main" id="{00000000-0008-0000-0000-0000F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26" name="Picture 192" descr="http://www.conermex.com.mx/images/pdf-opt-gris.png">
          <a:extLst>
            <a:ext uri="{FF2B5EF4-FFF2-40B4-BE49-F238E27FC236}">
              <a16:creationId xmlns:a16="http://schemas.microsoft.com/office/drawing/2014/main" id="{00000000-0008-0000-0000-0000F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27" name="Picture 193" descr="http://www.conermex.com.mx/images/pdf-opt-gris.png">
          <a:extLst>
            <a:ext uri="{FF2B5EF4-FFF2-40B4-BE49-F238E27FC236}">
              <a16:creationId xmlns:a16="http://schemas.microsoft.com/office/drawing/2014/main" id="{00000000-0008-0000-0000-0000F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28" name="Picture 194" descr="http://www.conermex.com.mx/images/pdf-opt-gris.png">
          <a:extLst>
            <a:ext uri="{FF2B5EF4-FFF2-40B4-BE49-F238E27FC236}">
              <a16:creationId xmlns:a16="http://schemas.microsoft.com/office/drawing/2014/main" id="{00000000-0008-0000-0000-0000F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29" name="Picture 195" descr="http://www.conermex.com.mx/images/pdf-opt-gris.png">
          <a:extLst>
            <a:ext uri="{FF2B5EF4-FFF2-40B4-BE49-F238E27FC236}">
              <a16:creationId xmlns:a16="http://schemas.microsoft.com/office/drawing/2014/main" id="{00000000-0008-0000-0000-0000F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30" name="Picture 196" descr="http://www.conermex.com.mx/images/pdf-opt-gris.png">
          <a:extLst>
            <a:ext uri="{FF2B5EF4-FFF2-40B4-BE49-F238E27FC236}">
              <a16:creationId xmlns:a16="http://schemas.microsoft.com/office/drawing/2014/main" id="{00000000-0008-0000-0000-0000F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31" name="Picture 197" descr="http://www.conermex.com.mx/images/pdf-opt-gris.png">
          <a:extLst>
            <a:ext uri="{FF2B5EF4-FFF2-40B4-BE49-F238E27FC236}">
              <a16:creationId xmlns:a16="http://schemas.microsoft.com/office/drawing/2014/main" id="{00000000-0008-0000-0000-0000F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32" name="Picture 198" descr="http://www.conermex.com.mx/images/pdf-opt-gris.png">
          <a:extLst>
            <a:ext uri="{FF2B5EF4-FFF2-40B4-BE49-F238E27FC236}">
              <a16:creationId xmlns:a16="http://schemas.microsoft.com/office/drawing/2014/main" id="{00000000-0008-0000-0000-0000F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33" name="Picture 199" descr="http://www.conermex.com.mx/images/pdf-opt-gris.png">
          <a:extLst>
            <a:ext uri="{FF2B5EF4-FFF2-40B4-BE49-F238E27FC236}">
              <a16:creationId xmlns:a16="http://schemas.microsoft.com/office/drawing/2014/main" id="{00000000-0008-0000-0000-0000F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34" name="Picture 200" descr="http://www.conermex.com.mx/images/pdf-opt-gris.png">
          <a:extLst>
            <a:ext uri="{FF2B5EF4-FFF2-40B4-BE49-F238E27FC236}">
              <a16:creationId xmlns:a16="http://schemas.microsoft.com/office/drawing/2014/main" id="{00000000-0008-0000-0000-0000F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35" name="Picture 201" descr="http://www.conermex.com.mx/images/pdf-opt-gris.png">
          <a:extLst>
            <a:ext uri="{FF2B5EF4-FFF2-40B4-BE49-F238E27FC236}">
              <a16:creationId xmlns:a16="http://schemas.microsoft.com/office/drawing/2014/main" id="{00000000-0008-0000-0000-0000F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36" name="Picture 202" descr="http://www.conermex.com.mx/images/pdf-opt-gris.png">
          <a:extLst>
            <a:ext uri="{FF2B5EF4-FFF2-40B4-BE49-F238E27FC236}">
              <a16:creationId xmlns:a16="http://schemas.microsoft.com/office/drawing/2014/main" id="{00000000-0008-0000-0000-0000F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37" name="Picture 203" descr="http://www.conermex.com.mx/images/pdf-opt-gris.png">
          <a:extLst>
            <a:ext uri="{FF2B5EF4-FFF2-40B4-BE49-F238E27FC236}">
              <a16:creationId xmlns:a16="http://schemas.microsoft.com/office/drawing/2014/main" id="{00000000-0008-0000-0000-0000F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38" name="Picture 204" descr="http://www.conermex.com.mx/images/pdf-opt-gris.png">
          <a:extLst>
            <a:ext uri="{FF2B5EF4-FFF2-40B4-BE49-F238E27FC236}">
              <a16:creationId xmlns:a16="http://schemas.microsoft.com/office/drawing/2014/main" id="{00000000-0008-0000-0000-00000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39" name="Picture 205" descr="http://www.conermex.com.mx/images/pdf-opt-gris.png">
          <a:extLst>
            <a:ext uri="{FF2B5EF4-FFF2-40B4-BE49-F238E27FC236}">
              <a16:creationId xmlns:a16="http://schemas.microsoft.com/office/drawing/2014/main" id="{00000000-0008-0000-0000-00000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40" name="Picture 206" descr="http://www.conermex.com.mx/images/pdf-opt-gris.png">
          <a:extLst>
            <a:ext uri="{FF2B5EF4-FFF2-40B4-BE49-F238E27FC236}">
              <a16:creationId xmlns:a16="http://schemas.microsoft.com/office/drawing/2014/main" id="{00000000-0008-0000-0000-00000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41" name="Picture 207" descr="http://www.conermex.com.mx/images/pdf-opt-gris.png">
          <a:extLst>
            <a:ext uri="{FF2B5EF4-FFF2-40B4-BE49-F238E27FC236}">
              <a16:creationId xmlns:a16="http://schemas.microsoft.com/office/drawing/2014/main" id="{00000000-0008-0000-0000-00000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42" name="Picture 208" descr="http://www.conermex.com.mx/images/pdf-opt-gris.png">
          <a:extLst>
            <a:ext uri="{FF2B5EF4-FFF2-40B4-BE49-F238E27FC236}">
              <a16:creationId xmlns:a16="http://schemas.microsoft.com/office/drawing/2014/main" id="{00000000-0008-0000-0000-00000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43" name="Picture 209" descr="http://www.conermex.com.mx/images/pdf-opt-gris.png">
          <a:extLst>
            <a:ext uri="{FF2B5EF4-FFF2-40B4-BE49-F238E27FC236}">
              <a16:creationId xmlns:a16="http://schemas.microsoft.com/office/drawing/2014/main" id="{00000000-0008-0000-0000-00000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44" name="Picture 210" descr="http://www.conermex.com.mx/images/pdf-opt-gris.png">
          <a:extLst>
            <a:ext uri="{FF2B5EF4-FFF2-40B4-BE49-F238E27FC236}">
              <a16:creationId xmlns:a16="http://schemas.microsoft.com/office/drawing/2014/main" id="{00000000-0008-0000-0000-00000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45" name="Picture 211" descr="http://www.conermex.com.mx/images/pdf-opt-gris.png">
          <a:extLst>
            <a:ext uri="{FF2B5EF4-FFF2-40B4-BE49-F238E27FC236}">
              <a16:creationId xmlns:a16="http://schemas.microsoft.com/office/drawing/2014/main" id="{00000000-0008-0000-0000-00000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46" name="Picture 212" descr="http://www.conermex.com.mx/images/pdf-opt-gris.png">
          <a:extLst>
            <a:ext uri="{FF2B5EF4-FFF2-40B4-BE49-F238E27FC236}">
              <a16:creationId xmlns:a16="http://schemas.microsoft.com/office/drawing/2014/main" id="{00000000-0008-0000-0000-00000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47" name="Picture 213" descr="http://www.conermex.com.mx/images/pdf-opt-gris.png">
          <a:extLst>
            <a:ext uri="{FF2B5EF4-FFF2-40B4-BE49-F238E27FC236}">
              <a16:creationId xmlns:a16="http://schemas.microsoft.com/office/drawing/2014/main" id="{00000000-0008-0000-0000-00000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48" name="Picture 214" descr="http://www.conermex.com.mx/images/pdf-opt-gris.png">
          <a:extLst>
            <a:ext uri="{FF2B5EF4-FFF2-40B4-BE49-F238E27FC236}">
              <a16:creationId xmlns:a16="http://schemas.microsoft.com/office/drawing/2014/main" id="{00000000-0008-0000-0000-00000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49" name="Picture 215" descr="http://www.conermex.com.mx/images/pdf-opt-gris.png">
          <a:extLst>
            <a:ext uri="{FF2B5EF4-FFF2-40B4-BE49-F238E27FC236}">
              <a16:creationId xmlns:a16="http://schemas.microsoft.com/office/drawing/2014/main" id="{00000000-0008-0000-0000-00000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50" name="Picture 216" descr="http://www.conermex.com.mx/images/pdf-opt-gris.png">
          <a:extLst>
            <a:ext uri="{FF2B5EF4-FFF2-40B4-BE49-F238E27FC236}">
              <a16:creationId xmlns:a16="http://schemas.microsoft.com/office/drawing/2014/main" id="{00000000-0008-0000-0000-00000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51" name="Picture 217" descr="http://www.conermex.com.mx/images/pdf-opt-gris.png">
          <a:extLst>
            <a:ext uri="{FF2B5EF4-FFF2-40B4-BE49-F238E27FC236}">
              <a16:creationId xmlns:a16="http://schemas.microsoft.com/office/drawing/2014/main" id="{00000000-0008-0000-0000-00000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52" name="Picture 218" descr="http://www.conermex.com.mx/images/pdf-opt-gris.png">
          <a:extLst>
            <a:ext uri="{FF2B5EF4-FFF2-40B4-BE49-F238E27FC236}">
              <a16:creationId xmlns:a16="http://schemas.microsoft.com/office/drawing/2014/main" id="{00000000-0008-0000-0000-00000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53" name="Picture 219" descr="http://www.conermex.com.mx/images/pdf-opt-gris.png">
          <a:extLst>
            <a:ext uri="{FF2B5EF4-FFF2-40B4-BE49-F238E27FC236}">
              <a16:creationId xmlns:a16="http://schemas.microsoft.com/office/drawing/2014/main" id="{00000000-0008-0000-0000-00000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54" name="Picture 220" descr="http://www.conermex.com.mx/images/pdf-opt-gris.png">
          <a:extLst>
            <a:ext uri="{FF2B5EF4-FFF2-40B4-BE49-F238E27FC236}">
              <a16:creationId xmlns:a16="http://schemas.microsoft.com/office/drawing/2014/main" id="{00000000-0008-0000-0000-00001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55" name="Picture 221" descr="http://www.conermex.com.mx/images/pdf-opt-gris.png">
          <a:extLst>
            <a:ext uri="{FF2B5EF4-FFF2-40B4-BE49-F238E27FC236}">
              <a16:creationId xmlns:a16="http://schemas.microsoft.com/office/drawing/2014/main" id="{00000000-0008-0000-0000-00001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56" name="Picture 222" descr="http://www.conermex.com.mx/images/pdf-opt-gris.png">
          <a:extLst>
            <a:ext uri="{FF2B5EF4-FFF2-40B4-BE49-F238E27FC236}">
              <a16:creationId xmlns:a16="http://schemas.microsoft.com/office/drawing/2014/main" id="{00000000-0008-0000-0000-00001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57" name="Picture 223" descr="http://www.conermex.com.mx/images/pdf-opt-gris.png">
          <a:extLst>
            <a:ext uri="{FF2B5EF4-FFF2-40B4-BE49-F238E27FC236}">
              <a16:creationId xmlns:a16="http://schemas.microsoft.com/office/drawing/2014/main" id="{00000000-0008-0000-0000-00001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58" name="Picture 224" descr="http://www.conermex.com.mx/images/pdf-opt-gris.png">
          <a:extLst>
            <a:ext uri="{FF2B5EF4-FFF2-40B4-BE49-F238E27FC236}">
              <a16:creationId xmlns:a16="http://schemas.microsoft.com/office/drawing/2014/main" id="{00000000-0008-0000-0000-00001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59" name="Picture 225" descr="http://www.conermex.com.mx/images/pdf-opt-gris.png">
          <a:extLst>
            <a:ext uri="{FF2B5EF4-FFF2-40B4-BE49-F238E27FC236}">
              <a16:creationId xmlns:a16="http://schemas.microsoft.com/office/drawing/2014/main" id="{00000000-0008-0000-0000-00001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60" name="Picture 226" descr="http://www.conermex.com.mx/images/pdf-opt-gris.png">
          <a:extLst>
            <a:ext uri="{FF2B5EF4-FFF2-40B4-BE49-F238E27FC236}">
              <a16:creationId xmlns:a16="http://schemas.microsoft.com/office/drawing/2014/main" id="{00000000-0008-0000-0000-00001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61" name="Picture 227" descr="http://www.conermex.com.mx/images/pdf-opt-gris.png">
          <a:extLst>
            <a:ext uri="{FF2B5EF4-FFF2-40B4-BE49-F238E27FC236}">
              <a16:creationId xmlns:a16="http://schemas.microsoft.com/office/drawing/2014/main" id="{00000000-0008-0000-0000-00001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62" name="Picture 228" descr="http://www.conermex.com.mx/images/pdf-opt-gris.png">
          <a:extLst>
            <a:ext uri="{FF2B5EF4-FFF2-40B4-BE49-F238E27FC236}">
              <a16:creationId xmlns:a16="http://schemas.microsoft.com/office/drawing/2014/main" id="{00000000-0008-0000-0000-00001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63" name="Picture 229" descr="http://www.conermex.com.mx/images/pdf-opt-gris.png">
          <a:extLst>
            <a:ext uri="{FF2B5EF4-FFF2-40B4-BE49-F238E27FC236}">
              <a16:creationId xmlns:a16="http://schemas.microsoft.com/office/drawing/2014/main" id="{00000000-0008-0000-0000-00001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64" name="Picture 230" descr="http://www.conermex.com.mx/images/pdf-opt-gris.png">
          <a:extLst>
            <a:ext uri="{FF2B5EF4-FFF2-40B4-BE49-F238E27FC236}">
              <a16:creationId xmlns:a16="http://schemas.microsoft.com/office/drawing/2014/main" id="{00000000-0008-0000-0000-00001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65" name="Picture 231" descr="http://www.conermex.com.mx/images/pdf-opt-gris.png">
          <a:extLst>
            <a:ext uri="{FF2B5EF4-FFF2-40B4-BE49-F238E27FC236}">
              <a16:creationId xmlns:a16="http://schemas.microsoft.com/office/drawing/2014/main" id="{00000000-0008-0000-0000-00001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66" name="Picture 232" descr="http://www.conermex.com.mx/images/pdf-opt-gris.png">
          <a:extLst>
            <a:ext uri="{FF2B5EF4-FFF2-40B4-BE49-F238E27FC236}">
              <a16:creationId xmlns:a16="http://schemas.microsoft.com/office/drawing/2014/main" id="{00000000-0008-0000-0000-00001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67" name="Picture 233" descr="http://www.conermex.com.mx/images/pdf-opt-gris.png">
          <a:extLst>
            <a:ext uri="{FF2B5EF4-FFF2-40B4-BE49-F238E27FC236}">
              <a16:creationId xmlns:a16="http://schemas.microsoft.com/office/drawing/2014/main" id="{00000000-0008-0000-0000-00001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68" name="Picture 234" descr="http://www.conermex.com.mx/images/pdf-opt-gris.png">
          <a:extLst>
            <a:ext uri="{FF2B5EF4-FFF2-40B4-BE49-F238E27FC236}">
              <a16:creationId xmlns:a16="http://schemas.microsoft.com/office/drawing/2014/main" id="{00000000-0008-0000-0000-00001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69" name="Picture 235" descr="http://www.conermex.com.mx/images/pdf-opt-gris.png">
          <a:extLst>
            <a:ext uri="{FF2B5EF4-FFF2-40B4-BE49-F238E27FC236}">
              <a16:creationId xmlns:a16="http://schemas.microsoft.com/office/drawing/2014/main" id="{00000000-0008-0000-0000-00001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70" name="Picture 236" descr="http://www.conermex.com.mx/images/pdf-opt.png">
          <a:hlinkClick xmlns:r="http://schemas.openxmlformats.org/officeDocument/2006/relationships" r:id="rId8" tgtFrame="_blank"/>
          <a:extLst>
            <a:ext uri="{FF2B5EF4-FFF2-40B4-BE49-F238E27FC236}">
              <a16:creationId xmlns:a16="http://schemas.microsoft.com/office/drawing/2014/main" id="{00000000-0008-0000-0000-000020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71" name="Picture 237" descr="http://www.conermex.com.mx/images/pdf-opt.png">
          <a:hlinkClick xmlns:r="http://schemas.openxmlformats.org/officeDocument/2006/relationships" r:id="rId9" tgtFrame="_blank"/>
          <a:extLst>
            <a:ext uri="{FF2B5EF4-FFF2-40B4-BE49-F238E27FC236}">
              <a16:creationId xmlns:a16="http://schemas.microsoft.com/office/drawing/2014/main" id="{00000000-0008-0000-0000-000021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72" name="Picture 238" descr="http://www.conermex.com.mx/images/pdf-opt-gris.png">
          <a:extLst>
            <a:ext uri="{FF2B5EF4-FFF2-40B4-BE49-F238E27FC236}">
              <a16:creationId xmlns:a16="http://schemas.microsoft.com/office/drawing/2014/main" id="{00000000-0008-0000-0000-00002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73" name="Picture 239" descr="http://www.conermex.com.mx/images/pdf-opt-gris.png">
          <a:extLst>
            <a:ext uri="{FF2B5EF4-FFF2-40B4-BE49-F238E27FC236}">
              <a16:creationId xmlns:a16="http://schemas.microsoft.com/office/drawing/2014/main" id="{00000000-0008-0000-0000-00002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74" name="Picture 240" descr="http://www.conermex.com.mx/images/pdf-opt-gris.png">
          <a:extLst>
            <a:ext uri="{FF2B5EF4-FFF2-40B4-BE49-F238E27FC236}">
              <a16:creationId xmlns:a16="http://schemas.microsoft.com/office/drawing/2014/main" id="{00000000-0008-0000-0000-00002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75" name="Picture 241" descr="http://www.conermex.com.mx/images/pdf-opt.png">
          <a:hlinkClick xmlns:r="http://schemas.openxmlformats.org/officeDocument/2006/relationships" r:id="rId10" tgtFrame="_blank"/>
          <a:extLst>
            <a:ext uri="{FF2B5EF4-FFF2-40B4-BE49-F238E27FC236}">
              <a16:creationId xmlns:a16="http://schemas.microsoft.com/office/drawing/2014/main" id="{00000000-0008-0000-0000-000025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76" name="Picture 242" descr="http://www.conermex.com.mx/images/pdf-opt.png">
          <a:hlinkClick xmlns:r="http://schemas.openxmlformats.org/officeDocument/2006/relationships" r:id="rId10" tgtFrame="_blank"/>
          <a:extLst>
            <a:ext uri="{FF2B5EF4-FFF2-40B4-BE49-F238E27FC236}">
              <a16:creationId xmlns:a16="http://schemas.microsoft.com/office/drawing/2014/main" id="{00000000-0008-0000-0000-000026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77" name="Picture 243" descr="http://www.conermex.com.mx/images/pdf-opt.png">
          <a:hlinkClick xmlns:r="http://schemas.openxmlformats.org/officeDocument/2006/relationships" r:id="rId11" tgtFrame="_blank"/>
          <a:extLst>
            <a:ext uri="{FF2B5EF4-FFF2-40B4-BE49-F238E27FC236}">
              <a16:creationId xmlns:a16="http://schemas.microsoft.com/office/drawing/2014/main" id="{00000000-0008-0000-0000-000027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78" name="Picture 244" descr="http://www.conermex.com.mx/images/pdf-opt.png">
          <a:hlinkClick xmlns:r="http://schemas.openxmlformats.org/officeDocument/2006/relationships" r:id="rId11" tgtFrame="_blank"/>
          <a:extLst>
            <a:ext uri="{FF2B5EF4-FFF2-40B4-BE49-F238E27FC236}">
              <a16:creationId xmlns:a16="http://schemas.microsoft.com/office/drawing/2014/main" id="{00000000-0008-0000-0000-000028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79" name="Picture 245" descr="http://www.conermex.com.mx/images/pdf-opt.png">
          <a:hlinkClick xmlns:r="http://schemas.openxmlformats.org/officeDocument/2006/relationships" r:id="rId11" tgtFrame="_blank"/>
          <a:extLst>
            <a:ext uri="{FF2B5EF4-FFF2-40B4-BE49-F238E27FC236}">
              <a16:creationId xmlns:a16="http://schemas.microsoft.com/office/drawing/2014/main" id="{00000000-0008-0000-0000-000029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80" name="Picture 246" descr="http://www.conermex.com.mx/images/pdf-opt-gris.png">
          <a:hlinkClick xmlns:r="http://schemas.openxmlformats.org/officeDocument/2006/relationships" r:id="rId10" tgtFrame="_blank"/>
          <a:extLst>
            <a:ext uri="{FF2B5EF4-FFF2-40B4-BE49-F238E27FC236}">
              <a16:creationId xmlns:a16="http://schemas.microsoft.com/office/drawing/2014/main" id="{00000000-0008-0000-0000-00002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81" name="Picture 247" descr="http://www.conermex.com.mx/images/pdf-opt-gris.png">
          <a:hlinkClick xmlns:r="http://schemas.openxmlformats.org/officeDocument/2006/relationships" r:id="rId10" tgtFrame="_blank"/>
          <a:extLst>
            <a:ext uri="{FF2B5EF4-FFF2-40B4-BE49-F238E27FC236}">
              <a16:creationId xmlns:a16="http://schemas.microsoft.com/office/drawing/2014/main" id="{00000000-0008-0000-0000-00002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82" name="Picture 248" descr="http://www.conermex.com.mx/images/pdf-opt-gris.png">
          <a:extLst>
            <a:ext uri="{FF2B5EF4-FFF2-40B4-BE49-F238E27FC236}">
              <a16:creationId xmlns:a16="http://schemas.microsoft.com/office/drawing/2014/main" id="{00000000-0008-0000-0000-00002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83" name="Picture 249" descr="http://www.conermex.com.mx/images/pdf-opt-gris.png">
          <a:extLst>
            <a:ext uri="{FF2B5EF4-FFF2-40B4-BE49-F238E27FC236}">
              <a16:creationId xmlns:a16="http://schemas.microsoft.com/office/drawing/2014/main" id="{00000000-0008-0000-0000-00002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84" name="Picture 250" descr="http://www.conermex.com.mx/images/pdf-opt.png">
          <a:hlinkClick xmlns:r="http://schemas.openxmlformats.org/officeDocument/2006/relationships" r:id="rId12" tgtFrame="_blank"/>
          <a:extLst>
            <a:ext uri="{FF2B5EF4-FFF2-40B4-BE49-F238E27FC236}">
              <a16:creationId xmlns:a16="http://schemas.microsoft.com/office/drawing/2014/main" id="{00000000-0008-0000-0000-00002E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85" name="Picture 251" descr="http://www.conermex.com.mx/images/pdf-opt.png">
          <a:hlinkClick xmlns:r="http://schemas.openxmlformats.org/officeDocument/2006/relationships" r:id="rId13" tgtFrame="_blank"/>
          <a:extLst>
            <a:ext uri="{FF2B5EF4-FFF2-40B4-BE49-F238E27FC236}">
              <a16:creationId xmlns:a16="http://schemas.microsoft.com/office/drawing/2014/main" id="{00000000-0008-0000-0000-00002F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86" name="Picture 252" descr="http://www.conermex.com.mx/images/pdf-opt.png">
          <a:hlinkClick xmlns:r="http://schemas.openxmlformats.org/officeDocument/2006/relationships" r:id="rId13" tgtFrame="_blank"/>
          <a:extLst>
            <a:ext uri="{FF2B5EF4-FFF2-40B4-BE49-F238E27FC236}">
              <a16:creationId xmlns:a16="http://schemas.microsoft.com/office/drawing/2014/main" id="{00000000-0008-0000-0000-000030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87" name="Picture 114" descr="http://www.conermex.com.mx/images/pdf-opt.png">
          <a:hlinkClick xmlns:r="http://schemas.openxmlformats.org/officeDocument/2006/relationships" r:id="rId14" tgtFrame="_blank"/>
          <a:extLst>
            <a:ext uri="{FF2B5EF4-FFF2-40B4-BE49-F238E27FC236}">
              <a16:creationId xmlns:a16="http://schemas.microsoft.com/office/drawing/2014/main" id="{00000000-0008-0000-0000-000032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88" name="Picture 115" descr="http://www.conermex.com.mx/images/pdf-opt.png">
          <a:hlinkClick xmlns:r="http://schemas.openxmlformats.org/officeDocument/2006/relationships" r:id="rId15" tgtFrame="_blank"/>
          <a:extLst>
            <a:ext uri="{FF2B5EF4-FFF2-40B4-BE49-F238E27FC236}">
              <a16:creationId xmlns:a16="http://schemas.microsoft.com/office/drawing/2014/main" id="{00000000-0008-0000-0000-000033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89" name="Picture 116" descr="http://www.conermex.com.mx/images/pdf-opt.png">
          <a:hlinkClick xmlns:r="http://schemas.openxmlformats.org/officeDocument/2006/relationships" r:id="rId16" tgtFrame="_blank"/>
          <a:extLst>
            <a:ext uri="{FF2B5EF4-FFF2-40B4-BE49-F238E27FC236}">
              <a16:creationId xmlns:a16="http://schemas.microsoft.com/office/drawing/2014/main" id="{00000000-0008-0000-0000-000034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90" name="Picture 117" descr="http://www.conermex.com.mx/images/pdf-opt.png">
          <a:hlinkClick xmlns:r="http://schemas.openxmlformats.org/officeDocument/2006/relationships" r:id="rId17" tgtFrame="_blank"/>
          <a:extLst>
            <a:ext uri="{FF2B5EF4-FFF2-40B4-BE49-F238E27FC236}">
              <a16:creationId xmlns:a16="http://schemas.microsoft.com/office/drawing/2014/main" id="{00000000-0008-0000-0000-000035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91" name="Picture 118" descr="http://www.conermex.com.mx/images/pdf-opt.png">
          <a:hlinkClick xmlns:r="http://schemas.openxmlformats.org/officeDocument/2006/relationships" r:id="rId18" tgtFrame="_blank"/>
          <a:extLst>
            <a:ext uri="{FF2B5EF4-FFF2-40B4-BE49-F238E27FC236}">
              <a16:creationId xmlns:a16="http://schemas.microsoft.com/office/drawing/2014/main" id="{00000000-0008-0000-0000-000036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92" name="Picture 119" descr="http://www.conermex.com.mx/images/pdf-opt.png">
          <a:hlinkClick xmlns:r="http://schemas.openxmlformats.org/officeDocument/2006/relationships" r:id="rId19" tgtFrame="_blank"/>
          <a:extLst>
            <a:ext uri="{FF2B5EF4-FFF2-40B4-BE49-F238E27FC236}">
              <a16:creationId xmlns:a16="http://schemas.microsoft.com/office/drawing/2014/main" id="{00000000-0008-0000-0000-000037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93" name="Picture 120" descr="http://www.conermex.com.mx/images/pdf-opt-gris.png">
          <a:extLst>
            <a:ext uri="{FF2B5EF4-FFF2-40B4-BE49-F238E27FC236}">
              <a16:creationId xmlns:a16="http://schemas.microsoft.com/office/drawing/2014/main" id="{00000000-0008-0000-0000-00003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94" name="Picture 121" descr="http://www.conermex.com.mx/images/pdf-opt.png">
          <a:hlinkClick xmlns:r="http://schemas.openxmlformats.org/officeDocument/2006/relationships" r:id="rId20"/>
          <a:extLst>
            <a:ext uri="{FF2B5EF4-FFF2-40B4-BE49-F238E27FC236}">
              <a16:creationId xmlns:a16="http://schemas.microsoft.com/office/drawing/2014/main" id="{00000000-0008-0000-0000-000039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95" name="Picture 122" descr="http://www.conermex.com.mx/images/pdf-opt-gris.png">
          <a:extLst>
            <a:ext uri="{FF2B5EF4-FFF2-40B4-BE49-F238E27FC236}">
              <a16:creationId xmlns:a16="http://schemas.microsoft.com/office/drawing/2014/main" id="{00000000-0008-0000-0000-00003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96" name="Picture 123" descr="http://www.conermex.com.mx/images/pdf-opt-gris.png">
          <a:extLst>
            <a:ext uri="{FF2B5EF4-FFF2-40B4-BE49-F238E27FC236}">
              <a16:creationId xmlns:a16="http://schemas.microsoft.com/office/drawing/2014/main" id="{00000000-0008-0000-0000-00003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97" name="Picture 124" descr="http://www.conermex.com.mx/images/pdf-opt-gris.png">
          <a:extLst>
            <a:ext uri="{FF2B5EF4-FFF2-40B4-BE49-F238E27FC236}">
              <a16:creationId xmlns:a16="http://schemas.microsoft.com/office/drawing/2014/main" id="{00000000-0008-0000-0000-00003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98" name="Picture 125"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3D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699" name="Picture 126"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3E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00" name="Picture 127"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3F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01" name="Picture 128"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40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02" name="Picture 129" descr="http://www.conermex.com.mx/images/pdf-opt-gris.png">
          <a:extLst>
            <a:ext uri="{FF2B5EF4-FFF2-40B4-BE49-F238E27FC236}">
              <a16:creationId xmlns:a16="http://schemas.microsoft.com/office/drawing/2014/main" id="{00000000-0008-0000-0000-00004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03" name="Picture 130"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42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04" name="Picture 131"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43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05" name="Picture 132"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44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06" name="Picture 133"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45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07" name="Picture 134" descr="http://www.conermex.com.mx/images/pdf-opt.png">
          <a:hlinkClick xmlns:r="http://schemas.openxmlformats.org/officeDocument/2006/relationships" r:id="rId5" tgtFrame="_blank"/>
          <a:extLst>
            <a:ext uri="{FF2B5EF4-FFF2-40B4-BE49-F238E27FC236}">
              <a16:creationId xmlns:a16="http://schemas.microsoft.com/office/drawing/2014/main" id="{00000000-0008-0000-0000-000046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08" name="Picture 135" descr="http://www.conermex.com.mx/images/pdf-opt.png">
          <a:hlinkClick xmlns:r="http://schemas.openxmlformats.org/officeDocument/2006/relationships" r:id="rId5" tgtFrame="_blank"/>
          <a:extLst>
            <a:ext uri="{FF2B5EF4-FFF2-40B4-BE49-F238E27FC236}">
              <a16:creationId xmlns:a16="http://schemas.microsoft.com/office/drawing/2014/main" id="{00000000-0008-0000-0000-000047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09" name="Picture 136"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48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10" name="Picture 137"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49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11" name="Picture 138"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4A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12" name="Picture 139"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4B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13" name="Picture 140"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4C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14" name="Picture 141"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4D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15" name="Picture 142"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4E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16" name="Picture 143" descr="http://www.conermex.com.mx/images/pdf-opt.png">
          <a:hlinkClick xmlns:r="http://schemas.openxmlformats.org/officeDocument/2006/relationships" r:id="rId8" tgtFrame="_blank"/>
          <a:extLst>
            <a:ext uri="{FF2B5EF4-FFF2-40B4-BE49-F238E27FC236}">
              <a16:creationId xmlns:a16="http://schemas.microsoft.com/office/drawing/2014/main" id="{00000000-0008-0000-0000-00004F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17" name="Picture 144" descr="http://www.conermex.com.mx/images/pdf-opt.png">
          <a:hlinkClick xmlns:r="http://schemas.openxmlformats.org/officeDocument/2006/relationships" r:id="rId9" tgtFrame="_blank"/>
          <a:extLst>
            <a:ext uri="{FF2B5EF4-FFF2-40B4-BE49-F238E27FC236}">
              <a16:creationId xmlns:a16="http://schemas.microsoft.com/office/drawing/2014/main" id="{00000000-0008-0000-0000-000050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18" name="Picture 145" descr="http://www.conermex.com.mx/images/pdf-opt-gris.png">
          <a:extLst>
            <a:ext uri="{FF2B5EF4-FFF2-40B4-BE49-F238E27FC236}">
              <a16:creationId xmlns:a16="http://schemas.microsoft.com/office/drawing/2014/main" id="{00000000-0008-0000-0000-00005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19" name="Picture 146" descr="http://www.conermex.com.mx/images/pdf-opt-gris.png">
          <a:extLst>
            <a:ext uri="{FF2B5EF4-FFF2-40B4-BE49-F238E27FC236}">
              <a16:creationId xmlns:a16="http://schemas.microsoft.com/office/drawing/2014/main" id="{00000000-0008-0000-0000-00005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20" name="Picture 147" descr="http://www.conermex.com.mx/images/pdf-opt-gris.png">
          <a:extLst>
            <a:ext uri="{FF2B5EF4-FFF2-40B4-BE49-F238E27FC236}">
              <a16:creationId xmlns:a16="http://schemas.microsoft.com/office/drawing/2014/main" id="{00000000-0008-0000-0000-00005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21" name="Picture 148" descr="http://www.conermex.com.mx/images/pdf-opt-gris.png">
          <a:extLst>
            <a:ext uri="{FF2B5EF4-FFF2-40B4-BE49-F238E27FC236}">
              <a16:creationId xmlns:a16="http://schemas.microsoft.com/office/drawing/2014/main" id="{00000000-0008-0000-0000-00005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22" name="Picture 149" descr="http://www.conermex.com.mx/images/pdf-opt-gris.png">
          <a:extLst>
            <a:ext uri="{FF2B5EF4-FFF2-40B4-BE49-F238E27FC236}">
              <a16:creationId xmlns:a16="http://schemas.microsoft.com/office/drawing/2014/main" id="{00000000-0008-0000-0000-00005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23" name="Picture 150" descr="http://www.conermex.com.mx/images/pdf-opt-gris.png">
          <a:extLst>
            <a:ext uri="{FF2B5EF4-FFF2-40B4-BE49-F238E27FC236}">
              <a16:creationId xmlns:a16="http://schemas.microsoft.com/office/drawing/2014/main" id="{00000000-0008-0000-0000-00005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24" name="Picture 151" descr="http://www.conermex.com.mx/images/pdf-opt-gris.png">
          <a:extLst>
            <a:ext uri="{FF2B5EF4-FFF2-40B4-BE49-F238E27FC236}">
              <a16:creationId xmlns:a16="http://schemas.microsoft.com/office/drawing/2014/main" id="{00000000-0008-0000-0000-00005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25" name="Picture 152" descr="http://www.conermex.com.mx/images/pdf-opt-gris.png">
          <a:extLst>
            <a:ext uri="{FF2B5EF4-FFF2-40B4-BE49-F238E27FC236}">
              <a16:creationId xmlns:a16="http://schemas.microsoft.com/office/drawing/2014/main" id="{00000000-0008-0000-0000-00005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26" name="Picture 153" descr="http://www.conermex.com.mx/images/pdf-opt-gris.png">
          <a:extLst>
            <a:ext uri="{FF2B5EF4-FFF2-40B4-BE49-F238E27FC236}">
              <a16:creationId xmlns:a16="http://schemas.microsoft.com/office/drawing/2014/main" id="{00000000-0008-0000-0000-00005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27" name="Picture 154" descr="http://www.conermex.com.mx/images/pdf-opt-gris.png">
          <a:extLst>
            <a:ext uri="{FF2B5EF4-FFF2-40B4-BE49-F238E27FC236}">
              <a16:creationId xmlns:a16="http://schemas.microsoft.com/office/drawing/2014/main" id="{00000000-0008-0000-0000-00005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28" name="Picture 155" descr="http://www.conermex.com.mx/images/pdf-opt-gris.png">
          <a:extLst>
            <a:ext uri="{FF2B5EF4-FFF2-40B4-BE49-F238E27FC236}">
              <a16:creationId xmlns:a16="http://schemas.microsoft.com/office/drawing/2014/main" id="{00000000-0008-0000-0000-00005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29" name="Picture 156" descr="http://www.conermex.com.mx/images/pdf-opt-gris.png">
          <a:extLst>
            <a:ext uri="{FF2B5EF4-FFF2-40B4-BE49-F238E27FC236}">
              <a16:creationId xmlns:a16="http://schemas.microsoft.com/office/drawing/2014/main" id="{00000000-0008-0000-0000-00005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30" name="Picture 157" descr="http://www.conermex.com.mx/images/pdf-opt-gris.png">
          <a:extLst>
            <a:ext uri="{FF2B5EF4-FFF2-40B4-BE49-F238E27FC236}">
              <a16:creationId xmlns:a16="http://schemas.microsoft.com/office/drawing/2014/main" id="{00000000-0008-0000-0000-00005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31" name="Picture 158" descr="http://www.conermex.com.mx/images/pdf-opt-gris.png">
          <a:extLst>
            <a:ext uri="{FF2B5EF4-FFF2-40B4-BE49-F238E27FC236}">
              <a16:creationId xmlns:a16="http://schemas.microsoft.com/office/drawing/2014/main" id="{00000000-0008-0000-0000-00005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32" name="Picture 159" descr="http://www.conermex.com.mx/images/pdf-opt-gris.png">
          <a:extLst>
            <a:ext uri="{FF2B5EF4-FFF2-40B4-BE49-F238E27FC236}">
              <a16:creationId xmlns:a16="http://schemas.microsoft.com/office/drawing/2014/main" id="{00000000-0008-0000-0000-00005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33" name="Picture 160" descr="http://www.conermex.com.mx/images/pdf-opt-gris.png">
          <a:extLst>
            <a:ext uri="{FF2B5EF4-FFF2-40B4-BE49-F238E27FC236}">
              <a16:creationId xmlns:a16="http://schemas.microsoft.com/office/drawing/2014/main" id="{00000000-0008-0000-0000-00006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34" name="Picture 161" descr="http://www.conermex.com.mx/images/pdf-opt-gris.png">
          <a:extLst>
            <a:ext uri="{FF2B5EF4-FFF2-40B4-BE49-F238E27FC236}">
              <a16:creationId xmlns:a16="http://schemas.microsoft.com/office/drawing/2014/main" id="{00000000-0008-0000-0000-00006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35" name="Picture 162" descr="http://www.conermex.com.mx/images/pdf-opt-gris.png">
          <a:extLst>
            <a:ext uri="{FF2B5EF4-FFF2-40B4-BE49-F238E27FC236}">
              <a16:creationId xmlns:a16="http://schemas.microsoft.com/office/drawing/2014/main" id="{00000000-0008-0000-0000-00006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36" name="Picture 163" descr="http://www.conermex.com.mx/images/pdf-opt-gris.png">
          <a:extLst>
            <a:ext uri="{FF2B5EF4-FFF2-40B4-BE49-F238E27FC236}">
              <a16:creationId xmlns:a16="http://schemas.microsoft.com/office/drawing/2014/main" id="{00000000-0008-0000-0000-00006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37" name="Picture 164" descr="http://www.conermex.com.mx/images/pdf-opt-gris.png">
          <a:extLst>
            <a:ext uri="{FF2B5EF4-FFF2-40B4-BE49-F238E27FC236}">
              <a16:creationId xmlns:a16="http://schemas.microsoft.com/office/drawing/2014/main" id="{00000000-0008-0000-0000-00006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38" name="Picture 165" descr="http://www.conermex.com.mx/images/pdf-opt-gris.png">
          <a:extLst>
            <a:ext uri="{FF2B5EF4-FFF2-40B4-BE49-F238E27FC236}">
              <a16:creationId xmlns:a16="http://schemas.microsoft.com/office/drawing/2014/main" id="{00000000-0008-0000-0000-00006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39" name="Picture 166" descr="http://www.conermex.com.mx/images/pdf-opt-gris.png">
          <a:extLst>
            <a:ext uri="{FF2B5EF4-FFF2-40B4-BE49-F238E27FC236}">
              <a16:creationId xmlns:a16="http://schemas.microsoft.com/office/drawing/2014/main" id="{00000000-0008-0000-0000-00006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40" name="Picture 167" descr="http://www.conermex.com.mx/images/pdf-opt-gris.png">
          <a:extLst>
            <a:ext uri="{FF2B5EF4-FFF2-40B4-BE49-F238E27FC236}">
              <a16:creationId xmlns:a16="http://schemas.microsoft.com/office/drawing/2014/main" id="{00000000-0008-0000-0000-00006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41" name="Picture 168" descr="http://www.conermex.com.mx/images/pdf-opt-gris.png">
          <a:extLst>
            <a:ext uri="{FF2B5EF4-FFF2-40B4-BE49-F238E27FC236}">
              <a16:creationId xmlns:a16="http://schemas.microsoft.com/office/drawing/2014/main" id="{00000000-0008-0000-0000-00006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42" name="Picture 169" descr="http://www.conermex.com.mx/images/pdf-opt-gris.png">
          <a:extLst>
            <a:ext uri="{FF2B5EF4-FFF2-40B4-BE49-F238E27FC236}">
              <a16:creationId xmlns:a16="http://schemas.microsoft.com/office/drawing/2014/main" id="{00000000-0008-0000-0000-00006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43" name="Picture 170" descr="http://www.conermex.com.mx/images/pdf-opt-gris.png">
          <a:extLst>
            <a:ext uri="{FF2B5EF4-FFF2-40B4-BE49-F238E27FC236}">
              <a16:creationId xmlns:a16="http://schemas.microsoft.com/office/drawing/2014/main" id="{00000000-0008-0000-0000-00006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44" name="Picture 171" descr="http://www.conermex.com.mx/images/pdf-opt-gris.png">
          <a:extLst>
            <a:ext uri="{FF2B5EF4-FFF2-40B4-BE49-F238E27FC236}">
              <a16:creationId xmlns:a16="http://schemas.microsoft.com/office/drawing/2014/main" id="{00000000-0008-0000-0000-00006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45" name="Picture 172" descr="http://www.conermex.com.mx/images/pdf-opt-gris.png">
          <a:extLst>
            <a:ext uri="{FF2B5EF4-FFF2-40B4-BE49-F238E27FC236}">
              <a16:creationId xmlns:a16="http://schemas.microsoft.com/office/drawing/2014/main" id="{00000000-0008-0000-0000-00006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46" name="Picture 173" descr="http://www.conermex.com.mx/images/pdf-opt-gris.png">
          <a:extLst>
            <a:ext uri="{FF2B5EF4-FFF2-40B4-BE49-F238E27FC236}">
              <a16:creationId xmlns:a16="http://schemas.microsoft.com/office/drawing/2014/main" id="{00000000-0008-0000-0000-00006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47" name="Picture 174" descr="http://www.conermex.com.mx/images/pdf-opt-gris.png">
          <a:extLst>
            <a:ext uri="{FF2B5EF4-FFF2-40B4-BE49-F238E27FC236}">
              <a16:creationId xmlns:a16="http://schemas.microsoft.com/office/drawing/2014/main" id="{00000000-0008-0000-0000-00006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48" name="Picture 175" descr="http://www.conermex.com.mx/images/pdf-opt-gris.png">
          <a:extLst>
            <a:ext uri="{FF2B5EF4-FFF2-40B4-BE49-F238E27FC236}">
              <a16:creationId xmlns:a16="http://schemas.microsoft.com/office/drawing/2014/main" id="{00000000-0008-0000-0000-00006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49" name="Picture 176" descr="http://www.conermex.com.mx/images/pdf-opt-gris.png">
          <a:extLst>
            <a:ext uri="{FF2B5EF4-FFF2-40B4-BE49-F238E27FC236}">
              <a16:creationId xmlns:a16="http://schemas.microsoft.com/office/drawing/2014/main" id="{00000000-0008-0000-0000-00007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50" name="Picture 177" descr="http://www.conermex.com.mx/images/pdf-opt-gris.png">
          <a:extLst>
            <a:ext uri="{FF2B5EF4-FFF2-40B4-BE49-F238E27FC236}">
              <a16:creationId xmlns:a16="http://schemas.microsoft.com/office/drawing/2014/main" id="{00000000-0008-0000-0000-00007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51" name="Picture 178" descr="http://www.conermex.com.mx/images/pdf-opt-gris.png">
          <a:extLst>
            <a:ext uri="{FF2B5EF4-FFF2-40B4-BE49-F238E27FC236}">
              <a16:creationId xmlns:a16="http://schemas.microsoft.com/office/drawing/2014/main" id="{00000000-0008-0000-0000-00007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52" name="Picture 179" descr="http://www.conermex.com.mx/images/pdf-opt-gris.png">
          <a:extLst>
            <a:ext uri="{FF2B5EF4-FFF2-40B4-BE49-F238E27FC236}">
              <a16:creationId xmlns:a16="http://schemas.microsoft.com/office/drawing/2014/main" id="{00000000-0008-0000-0000-00007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53" name="Picture 180" descr="http://www.conermex.com.mx/images/pdf-opt-gris.png">
          <a:extLst>
            <a:ext uri="{FF2B5EF4-FFF2-40B4-BE49-F238E27FC236}">
              <a16:creationId xmlns:a16="http://schemas.microsoft.com/office/drawing/2014/main" id="{00000000-0008-0000-0000-00007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54" name="Picture 181" descr="http://www.conermex.com.mx/images/pdf-opt-gris.png">
          <a:extLst>
            <a:ext uri="{FF2B5EF4-FFF2-40B4-BE49-F238E27FC236}">
              <a16:creationId xmlns:a16="http://schemas.microsoft.com/office/drawing/2014/main" id="{00000000-0008-0000-0000-00007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55" name="Picture 182" descr="http://www.conermex.com.mx/images/pdf-opt-gris.png">
          <a:extLst>
            <a:ext uri="{FF2B5EF4-FFF2-40B4-BE49-F238E27FC236}">
              <a16:creationId xmlns:a16="http://schemas.microsoft.com/office/drawing/2014/main" id="{00000000-0008-0000-0000-00007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56" name="Picture 183" descr="http://www.conermex.com.mx/images/pdf-opt-gris.png">
          <a:extLst>
            <a:ext uri="{FF2B5EF4-FFF2-40B4-BE49-F238E27FC236}">
              <a16:creationId xmlns:a16="http://schemas.microsoft.com/office/drawing/2014/main" id="{00000000-0008-0000-0000-00007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57" name="Picture 184" descr="http://www.conermex.com.mx/images/pdf-opt-gris.png">
          <a:extLst>
            <a:ext uri="{FF2B5EF4-FFF2-40B4-BE49-F238E27FC236}">
              <a16:creationId xmlns:a16="http://schemas.microsoft.com/office/drawing/2014/main" id="{00000000-0008-0000-0000-00007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58" name="Picture 185" descr="http://www.conermex.com.mx/images/pdf-opt-gris.png">
          <a:extLst>
            <a:ext uri="{FF2B5EF4-FFF2-40B4-BE49-F238E27FC236}">
              <a16:creationId xmlns:a16="http://schemas.microsoft.com/office/drawing/2014/main" id="{00000000-0008-0000-0000-00007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59" name="Picture 186" descr="http://www.conermex.com.mx/images/pdf-opt-gris.png">
          <a:extLst>
            <a:ext uri="{FF2B5EF4-FFF2-40B4-BE49-F238E27FC236}">
              <a16:creationId xmlns:a16="http://schemas.microsoft.com/office/drawing/2014/main" id="{00000000-0008-0000-0000-00007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60" name="Picture 187" descr="http://www.conermex.com.mx/images/pdf-opt-gris.png">
          <a:extLst>
            <a:ext uri="{FF2B5EF4-FFF2-40B4-BE49-F238E27FC236}">
              <a16:creationId xmlns:a16="http://schemas.microsoft.com/office/drawing/2014/main" id="{00000000-0008-0000-0000-00007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61" name="Picture 188" descr="http://www.conermex.com.mx/images/pdf-opt-gris.png">
          <a:extLst>
            <a:ext uri="{FF2B5EF4-FFF2-40B4-BE49-F238E27FC236}">
              <a16:creationId xmlns:a16="http://schemas.microsoft.com/office/drawing/2014/main" id="{00000000-0008-0000-0000-00007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oneCellAnchor>
    <xdr:from>
      <xdr:col>3</xdr:col>
      <xdr:colOff>0</xdr:colOff>
      <xdr:row>200</xdr:row>
      <xdr:rowOff>0</xdr:rowOff>
    </xdr:from>
    <xdr:ext cx="285750" cy="275915"/>
    <xdr:pic>
      <xdr:nvPicPr>
        <xdr:cNvPr id="762" name="Picture 189" descr="http://www.conermex.com.mx/images/pdf-opt-gris.png">
          <a:extLst>
            <a:ext uri="{FF2B5EF4-FFF2-40B4-BE49-F238E27FC236}">
              <a16:creationId xmlns:a16="http://schemas.microsoft.com/office/drawing/2014/main" id="{00000000-0008-0000-0000-00007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oneCellAnchor>
  <xdr:twoCellAnchor editAs="oneCell">
    <xdr:from>
      <xdr:col>3</xdr:col>
      <xdr:colOff>0</xdr:colOff>
      <xdr:row>200</xdr:row>
      <xdr:rowOff>0</xdr:rowOff>
    </xdr:from>
    <xdr:to>
      <xdr:col>3</xdr:col>
      <xdr:colOff>285750</xdr:colOff>
      <xdr:row>200</xdr:row>
      <xdr:rowOff>275915</xdr:rowOff>
    </xdr:to>
    <xdr:pic>
      <xdr:nvPicPr>
        <xdr:cNvPr id="763" name="Picture 190" descr="http://www.conermex.com.mx/images/pdf-opt-gris.png">
          <a:extLst>
            <a:ext uri="{FF2B5EF4-FFF2-40B4-BE49-F238E27FC236}">
              <a16:creationId xmlns:a16="http://schemas.microsoft.com/office/drawing/2014/main" id="{00000000-0008-0000-0000-00007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764" name="Picture 191" descr="http://www.conermex.com.mx/images/pdf-opt-gris.png">
          <a:extLst>
            <a:ext uri="{FF2B5EF4-FFF2-40B4-BE49-F238E27FC236}">
              <a16:creationId xmlns:a16="http://schemas.microsoft.com/office/drawing/2014/main" id="{00000000-0008-0000-0000-00007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765" name="Picture 192" descr="http://www.conermex.com.mx/images/pdf-opt-gris.png">
          <a:extLst>
            <a:ext uri="{FF2B5EF4-FFF2-40B4-BE49-F238E27FC236}">
              <a16:creationId xmlns:a16="http://schemas.microsoft.com/office/drawing/2014/main" id="{00000000-0008-0000-0000-00008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766" name="Picture 193" descr="http://www.conermex.com.mx/images/pdf-opt-gris.png">
          <a:extLst>
            <a:ext uri="{FF2B5EF4-FFF2-40B4-BE49-F238E27FC236}">
              <a16:creationId xmlns:a16="http://schemas.microsoft.com/office/drawing/2014/main" id="{00000000-0008-0000-0000-00008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767" name="Picture 194" descr="http://www.conermex.com.mx/images/pdf-opt-gris.png">
          <a:extLst>
            <a:ext uri="{FF2B5EF4-FFF2-40B4-BE49-F238E27FC236}">
              <a16:creationId xmlns:a16="http://schemas.microsoft.com/office/drawing/2014/main" id="{00000000-0008-0000-0000-00008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768" name="Picture 195" descr="http://www.conermex.com.mx/images/pdf-opt-gris.png">
          <a:extLst>
            <a:ext uri="{FF2B5EF4-FFF2-40B4-BE49-F238E27FC236}">
              <a16:creationId xmlns:a16="http://schemas.microsoft.com/office/drawing/2014/main" id="{00000000-0008-0000-0000-00008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769" name="Picture 196" descr="http://www.conermex.com.mx/images/pdf-opt-gris.png">
          <a:extLst>
            <a:ext uri="{FF2B5EF4-FFF2-40B4-BE49-F238E27FC236}">
              <a16:creationId xmlns:a16="http://schemas.microsoft.com/office/drawing/2014/main" id="{00000000-0008-0000-0000-00008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770" name="Picture 197" descr="http://www.conermex.com.mx/images/pdf-opt-gris.png">
          <a:extLst>
            <a:ext uri="{FF2B5EF4-FFF2-40B4-BE49-F238E27FC236}">
              <a16:creationId xmlns:a16="http://schemas.microsoft.com/office/drawing/2014/main" id="{00000000-0008-0000-0000-00008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771" name="Picture 198" descr="http://www.conermex.com.mx/images/pdf-opt-gris.png">
          <a:extLst>
            <a:ext uri="{FF2B5EF4-FFF2-40B4-BE49-F238E27FC236}">
              <a16:creationId xmlns:a16="http://schemas.microsoft.com/office/drawing/2014/main" id="{00000000-0008-0000-0000-00008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772" name="Picture 199" descr="http://www.conermex.com.mx/images/pdf-opt-gris.png">
          <a:extLst>
            <a:ext uri="{FF2B5EF4-FFF2-40B4-BE49-F238E27FC236}">
              <a16:creationId xmlns:a16="http://schemas.microsoft.com/office/drawing/2014/main" id="{00000000-0008-0000-0000-00008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773" name="Picture 200" descr="http://www.conermex.com.mx/images/pdf-opt-gris.png">
          <a:extLst>
            <a:ext uri="{FF2B5EF4-FFF2-40B4-BE49-F238E27FC236}">
              <a16:creationId xmlns:a16="http://schemas.microsoft.com/office/drawing/2014/main" id="{00000000-0008-0000-0000-00008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774" name="Picture 201" descr="http://www.conermex.com.mx/images/pdf-opt-gris.png">
          <a:extLst>
            <a:ext uri="{FF2B5EF4-FFF2-40B4-BE49-F238E27FC236}">
              <a16:creationId xmlns:a16="http://schemas.microsoft.com/office/drawing/2014/main" id="{00000000-0008-0000-0000-00008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775" name="Picture 202" descr="http://www.conermex.com.mx/images/pdf-opt-gris.png">
          <a:extLst>
            <a:ext uri="{FF2B5EF4-FFF2-40B4-BE49-F238E27FC236}">
              <a16:creationId xmlns:a16="http://schemas.microsoft.com/office/drawing/2014/main" id="{00000000-0008-0000-0000-00008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776" name="Picture 203" descr="http://www.conermex.com.mx/images/pdf-opt-gris.png">
          <a:extLst>
            <a:ext uri="{FF2B5EF4-FFF2-40B4-BE49-F238E27FC236}">
              <a16:creationId xmlns:a16="http://schemas.microsoft.com/office/drawing/2014/main" id="{00000000-0008-0000-0000-00008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777" name="Picture 204" descr="http://www.conermex.com.mx/images/pdf-opt-gris.png">
          <a:extLst>
            <a:ext uri="{FF2B5EF4-FFF2-40B4-BE49-F238E27FC236}">
              <a16:creationId xmlns:a16="http://schemas.microsoft.com/office/drawing/2014/main" id="{00000000-0008-0000-0000-00008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778" name="Picture 205" descr="http://www.conermex.com.mx/images/pdf-opt-gris.png">
          <a:extLst>
            <a:ext uri="{FF2B5EF4-FFF2-40B4-BE49-F238E27FC236}">
              <a16:creationId xmlns:a16="http://schemas.microsoft.com/office/drawing/2014/main" id="{00000000-0008-0000-0000-00008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779" name="Picture 206" descr="http://www.conermex.com.mx/images/pdf-opt-gris.png">
          <a:extLst>
            <a:ext uri="{FF2B5EF4-FFF2-40B4-BE49-F238E27FC236}">
              <a16:creationId xmlns:a16="http://schemas.microsoft.com/office/drawing/2014/main" id="{00000000-0008-0000-0000-00008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780" name="Picture 207" descr="http://www.conermex.com.mx/images/pdf-opt-gris.png">
          <a:extLst>
            <a:ext uri="{FF2B5EF4-FFF2-40B4-BE49-F238E27FC236}">
              <a16:creationId xmlns:a16="http://schemas.microsoft.com/office/drawing/2014/main" id="{00000000-0008-0000-0000-00008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781" name="Picture 208" descr="http://www.conermex.com.mx/images/pdf-opt-gris.png">
          <a:extLst>
            <a:ext uri="{FF2B5EF4-FFF2-40B4-BE49-F238E27FC236}">
              <a16:creationId xmlns:a16="http://schemas.microsoft.com/office/drawing/2014/main" id="{00000000-0008-0000-0000-00009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782" name="Picture 209" descr="http://www.conermex.com.mx/images/pdf-opt-gris.png">
          <a:extLst>
            <a:ext uri="{FF2B5EF4-FFF2-40B4-BE49-F238E27FC236}">
              <a16:creationId xmlns:a16="http://schemas.microsoft.com/office/drawing/2014/main" id="{00000000-0008-0000-0000-00009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783" name="Picture 210" descr="http://www.conermex.com.mx/images/pdf-opt-gris.png">
          <a:extLst>
            <a:ext uri="{FF2B5EF4-FFF2-40B4-BE49-F238E27FC236}">
              <a16:creationId xmlns:a16="http://schemas.microsoft.com/office/drawing/2014/main" id="{00000000-0008-0000-0000-00009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784" name="Picture 211" descr="http://www.conermex.com.mx/images/pdf-opt-gris.png">
          <a:extLst>
            <a:ext uri="{FF2B5EF4-FFF2-40B4-BE49-F238E27FC236}">
              <a16:creationId xmlns:a16="http://schemas.microsoft.com/office/drawing/2014/main" id="{00000000-0008-0000-0000-00009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785" name="Picture 212" descr="http://www.conermex.com.mx/images/pdf-opt-gris.png">
          <a:extLst>
            <a:ext uri="{FF2B5EF4-FFF2-40B4-BE49-F238E27FC236}">
              <a16:creationId xmlns:a16="http://schemas.microsoft.com/office/drawing/2014/main" id="{00000000-0008-0000-0000-00009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786" name="Picture 213" descr="http://www.conermex.com.mx/images/pdf-opt-gris.png">
          <a:extLst>
            <a:ext uri="{FF2B5EF4-FFF2-40B4-BE49-F238E27FC236}">
              <a16:creationId xmlns:a16="http://schemas.microsoft.com/office/drawing/2014/main" id="{00000000-0008-0000-0000-00009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787" name="Picture 214" descr="http://www.conermex.com.mx/images/pdf-opt-gris.png">
          <a:extLst>
            <a:ext uri="{FF2B5EF4-FFF2-40B4-BE49-F238E27FC236}">
              <a16:creationId xmlns:a16="http://schemas.microsoft.com/office/drawing/2014/main" id="{00000000-0008-0000-0000-00009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788" name="Picture 215" descr="http://www.conermex.com.mx/images/pdf-opt-gris.png">
          <a:extLst>
            <a:ext uri="{FF2B5EF4-FFF2-40B4-BE49-F238E27FC236}">
              <a16:creationId xmlns:a16="http://schemas.microsoft.com/office/drawing/2014/main" id="{00000000-0008-0000-0000-00009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789" name="Picture 216" descr="http://www.conermex.com.mx/images/pdf-opt-gris.png">
          <a:extLst>
            <a:ext uri="{FF2B5EF4-FFF2-40B4-BE49-F238E27FC236}">
              <a16:creationId xmlns:a16="http://schemas.microsoft.com/office/drawing/2014/main" id="{00000000-0008-0000-0000-00009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790" name="Picture 217" descr="http://www.conermex.com.mx/images/pdf-opt-gris.png">
          <a:extLst>
            <a:ext uri="{FF2B5EF4-FFF2-40B4-BE49-F238E27FC236}">
              <a16:creationId xmlns:a16="http://schemas.microsoft.com/office/drawing/2014/main" id="{00000000-0008-0000-0000-00009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791" name="Picture 218" descr="http://www.conermex.com.mx/images/pdf-opt-gris.png">
          <a:extLst>
            <a:ext uri="{FF2B5EF4-FFF2-40B4-BE49-F238E27FC236}">
              <a16:creationId xmlns:a16="http://schemas.microsoft.com/office/drawing/2014/main" id="{00000000-0008-0000-0000-00009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792" name="Picture 219" descr="http://www.conermex.com.mx/images/pdf-opt-gris.png">
          <a:extLst>
            <a:ext uri="{FF2B5EF4-FFF2-40B4-BE49-F238E27FC236}">
              <a16:creationId xmlns:a16="http://schemas.microsoft.com/office/drawing/2014/main" id="{00000000-0008-0000-0000-00009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793" name="Picture 220" descr="http://www.conermex.com.mx/images/pdf-opt-gris.png">
          <a:extLst>
            <a:ext uri="{FF2B5EF4-FFF2-40B4-BE49-F238E27FC236}">
              <a16:creationId xmlns:a16="http://schemas.microsoft.com/office/drawing/2014/main" id="{00000000-0008-0000-0000-00009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794" name="Picture 221" descr="http://www.conermex.com.mx/images/pdf-opt-gris.png">
          <a:extLst>
            <a:ext uri="{FF2B5EF4-FFF2-40B4-BE49-F238E27FC236}">
              <a16:creationId xmlns:a16="http://schemas.microsoft.com/office/drawing/2014/main" id="{00000000-0008-0000-0000-00009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795" name="Picture 222" descr="http://www.conermex.com.mx/images/pdf-opt-gris.png">
          <a:extLst>
            <a:ext uri="{FF2B5EF4-FFF2-40B4-BE49-F238E27FC236}">
              <a16:creationId xmlns:a16="http://schemas.microsoft.com/office/drawing/2014/main" id="{00000000-0008-0000-0000-00009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796" name="Picture 223" descr="http://www.conermex.com.mx/images/pdf-opt-gris.png">
          <a:extLst>
            <a:ext uri="{FF2B5EF4-FFF2-40B4-BE49-F238E27FC236}">
              <a16:creationId xmlns:a16="http://schemas.microsoft.com/office/drawing/2014/main" id="{00000000-0008-0000-0000-00009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797" name="Picture 224" descr="http://www.conermex.com.mx/images/pdf-opt-gris.png">
          <a:extLst>
            <a:ext uri="{FF2B5EF4-FFF2-40B4-BE49-F238E27FC236}">
              <a16:creationId xmlns:a16="http://schemas.microsoft.com/office/drawing/2014/main" id="{00000000-0008-0000-0000-0000A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798" name="Picture 225" descr="http://www.conermex.com.mx/images/pdf-opt-gris.png">
          <a:extLst>
            <a:ext uri="{FF2B5EF4-FFF2-40B4-BE49-F238E27FC236}">
              <a16:creationId xmlns:a16="http://schemas.microsoft.com/office/drawing/2014/main" id="{00000000-0008-0000-0000-0000A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799" name="Picture 226" descr="http://www.conermex.com.mx/images/pdf-opt-gris.png">
          <a:extLst>
            <a:ext uri="{FF2B5EF4-FFF2-40B4-BE49-F238E27FC236}">
              <a16:creationId xmlns:a16="http://schemas.microsoft.com/office/drawing/2014/main" id="{00000000-0008-0000-0000-0000A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00" name="Picture 227" descr="http://www.conermex.com.mx/images/pdf-opt-gris.png">
          <a:extLst>
            <a:ext uri="{FF2B5EF4-FFF2-40B4-BE49-F238E27FC236}">
              <a16:creationId xmlns:a16="http://schemas.microsoft.com/office/drawing/2014/main" id="{00000000-0008-0000-0000-0000A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01" name="Picture 228" descr="http://www.conermex.com.mx/images/pdf-opt-gris.png">
          <a:extLst>
            <a:ext uri="{FF2B5EF4-FFF2-40B4-BE49-F238E27FC236}">
              <a16:creationId xmlns:a16="http://schemas.microsoft.com/office/drawing/2014/main" id="{00000000-0008-0000-0000-0000A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02" name="Picture 229" descr="http://www.conermex.com.mx/images/pdf-opt-gris.png">
          <a:extLst>
            <a:ext uri="{FF2B5EF4-FFF2-40B4-BE49-F238E27FC236}">
              <a16:creationId xmlns:a16="http://schemas.microsoft.com/office/drawing/2014/main" id="{00000000-0008-0000-0000-0000A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03" name="Picture 230" descr="http://www.conermex.com.mx/images/pdf-opt-gris.png">
          <a:extLst>
            <a:ext uri="{FF2B5EF4-FFF2-40B4-BE49-F238E27FC236}">
              <a16:creationId xmlns:a16="http://schemas.microsoft.com/office/drawing/2014/main" id="{00000000-0008-0000-0000-0000A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04" name="Picture 231" descr="http://www.conermex.com.mx/images/pdf-opt-gris.png">
          <a:extLst>
            <a:ext uri="{FF2B5EF4-FFF2-40B4-BE49-F238E27FC236}">
              <a16:creationId xmlns:a16="http://schemas.microsoft.com/office/drawing/2014/main" id="{00000000-0008-0000-0000-0000A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05" name="Picture 232" descr="http://www.conermex.com.mx/images/pdf-opt-gris.png">
          <a:extLst>
            <a:ext uri="{FF2B5EF4-FFF2-40B4-BE49-F238E27FC236}">
              <a16:creationId xmlns:a16="http://schemas.microsoft.com/office/drawing/2014/main" id="{00000000-0008-0000-0000-0000A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06" name="Picture 233" descr="http://www.conermex.com.mx/images/pdf-opt-gris.png">
          <a:extLst>
            <a:ext uri="{FF2B5EF4-FFF2-40B4-BE49-F238E27FC236}">
              <a16:creationId xmlns:a16="http://schemas.microsoft.com/office/drawing/2014/main" id="{00000000-0008-0000-0000-0000A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07" name="Picture 234" descr="http://www.conermex.com.mx/images/pdf-opt-gris.png">
          <a:extLst>
            <a:ext uri="{FF2B5EF4-FFF2-40B4-BE49-F238E27FC236}">
              <a16:creationId xmlns:a16="http://schemas.microsoft.com/office/drawing/2014/main" id="{00000000-0008-0000-0000-0000A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08" name="Picture 235" descr="http://www.conermex.com.mx/images/pdf-opt-gris.png">
          <a:extLst>
            <a:ext uri="{FF2B5EF4-FFF2-40B4-BE49-F238E27FC236}">
              <a16:creationId xmlns:a16="http://schemas.microsoft.com/office/drawing/2014/main" id="{00000000-0008-0000-0000-0000A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09" name="Picture 236" descr="http://www.conermex.com.mx/images/pdf-opt.png">
          <a:hlinkClick xmlns:r="http://schemas.openxmlformats.org/officeDocument/2006/relationships" r:id="rId8" tgtFrame="_blank"/>
          <a:extLst>
            <a:ext uri="{FF2B5EF4-FFF2-40B4-BE49-F238E27FC236}">
              <a16:creationId xmlns:a16="http://schemas.microsoft.com/office/drawing/2014/main" id="{00000000-0008-0000-0000-0000AC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10" name="Picture 237" descr="http://www.conermex.com.mx/images/pdf-opt.png">
          <a:hlinkClick xmlns:r="http://schemas.openxmlformats.org/officeDocument/2006/relationships" r:id="rId9" tgtFrame="_blank"/>
          <a:extLst>
            <a:ext uri="{FF2B5EF4-FFF2-40B4-BE49-F238E27FC236}">
              <a16:creationId xmlns:a16="http://schemas.microsoft.com/office/drawing/2014/main" id="{00000000-0008-0000-0000-0000AD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11" name="Picture 238" descr="http://www.conermex.com.mx/images/pdf-opt-gris.png">
          <a:extLst>
            <a:ext uri="{FF2B5EF4-FFF2-40B4-BE49-F238E27FC236}">
              <a16:creationId xmlns:a16="http://schemas.microsoft.com/office/drawing/2014/main" id="{00000000-0008-0000-0000-0000A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12" name="Picture 239" descr="http://www.conermex.com.mx/images/pdf-opt-gris.png">
          <a:extLst>
            <a:ext uri="{FF2B5EF4-FFF2-40B4-BE49-F238E27FC236}">
              <a16:creationId xmlns:a16="http://schemas.microsoft.com/office/drawing/2014/main" id="{00000000-0008-0000-0000-0000A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13" name="Picture 240" descr="http://www.conermex.com.mx/images/pdf-opt-gris.png">
          <a:extLst>
            <a:ext uri="{FF2B5EF4-FFF2-40B4-BE49-F238E27FC236}">
              <a16:creationId xmlns:a16="http://schemas.microsoft.com/office/drawing/2014/main" id="{00000000-0008-0000-0000-0000B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14" name="Picture 241" descr="http://www.conermex.com.mx/images/pdf-opt.png">
          <a:hlinkClick xmlns:r="http://schemas.openxmlformats.org/officeDocument/2006/relationships" r:id="rId10" tgtFrame="_blank"/>
          <a:extLst>
            <a:ext uri="{FF2B5EF4-FFF2-40B4-BE49-F238E27FC236}">
              <a16:creationId xmlns:a16="http://schemas.microsoft.com/office/drawing/2014/main" id="{00000000-0008-0000-0000-0000B1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15" name="Picture 242" descr="http://www.conermex.com.mx/images/pdf-opt.png">
          <a:hlinkClick xmlns:r="http://schemas.openxmlformats.org/officeDocument/2006/relationships" r:id="rId10" tgtFrame="_blank"/>
          <a:extLst>
            <a:ext uri="{FF2B5EF4-FFF2-40B4-BE49-F238E27FC236}">
              <a16:creationId xmlns:a16="http://schemas.microsoft.com/office/drawing/2014/main" id="{00000000-0008-0000-0000-0000B2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16" name="Picture 243" descr="http://www.conermex.com.mx/images/pdf-opt.png">
          <a:hlinkClick xmlns:r="http://schemas.openxmlformats.org/officeDocument/2006/relationships" r:id="rId11" tgtFrame="_blank"/>
          <a:extLst>
            <a:ext uri="{FF2B5EF4-FFF2-40B4-BE49-F238E27FC236}">
              <a16:creationId xmlns:a16="http://schemas.microsoft.com/office/drawing/2014/main" id="{00000000-0008-0000-0000-0000B3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17" name="Picture 244" descr="http://www.conermex.com.mx/images/pdf-opt.png">
          <a:hlinkClick xmlns:r="http://schemas.openxmlformats.org/officeDocument/2006/relationships" r:id="rId11" tgtFrame="_blank"/>
          <a:extLst>
            <a:ext uri="{FF2B5EF4-FFF2-40B4-BE49-F238E27FC236}">
              <a16:creationId xmlns:a16="http://schemas.microsoft.com/office/drawing/2014/main" id="{00000000-0008-0000-0000-0000B4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18" name="Picture 245" descr="http://www.conermex.com.mx/images/pdf-opt.png">
          <a:hlinkClick xmlns:r="http://schemas.openxmlformats.org/officeDocument/2006/relationships" r:id="rId11" tgtFrame="_blank"/>
          <a:extLst>
            <a:ext uri="{FF2B5EF4-FFF2-40B4-BE49-F238E27FC236}">
              <a16:creationId xmlns:a16="http://schemas.microsoft.com/office/drawing/2014/main" id="{00000000-0008-0000-0000-0000B5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19" name="Picture 246" descr="http://www.conermex.com.mx/images/pdf-opt-gris.png">
          <a:hlinkClick xmlns:r="http://schemas.openxmlformats.org/officeDocument/2006/relationships" r:id="rId10" tgtFrame="_blank"/>
          <a:extLst>
            <a:ext uri="{FF2B5EF4-FFF2-40B4-BE49-F238E27FC236}">
              <a16:creationId xmlns:a16="http://schemas.microsoft.com/office/drawing/2014/main" id="{00000000-0008-0000-0000-0000B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20" name="Picture 247" descr="http://www.conermex.com.mx/images/pdf-opt-gris.png">
          <a:hlinkClick xmlns:r="http://schemas.openxmlformats.org/officeDocument/2006/relationships" r:id="rId10" tgtFrame="_blank"/>
          <a:extLst>
            <a:ext uri="{FF2B5EF4-FFF2-40B4-BE49-F238E27FC236}">
              <a16:creationId xmlns:a16="http://schemas.microsoft.com/office/drawing/2014/main" id="{00000000-0008-0000-0000-0000B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21" name="Picture 248" descr="http://www.conermex.com.mx/images/pdf-opt-gris.png">
          <a:extLst>
            <a:ext uri="{FF2B5EF4-FFF2-40B4-BE49-F238E27FC236}">
              <a16:creationId xmlns:a16="http://schemas.microsoft.com/office/drawing/2014/main" id="{00000000-0008-0000-0000-0000B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22" name="Picture 249" descr="http://www.conermex.com.mx/images/pdf-opt-gris.png">
          <a:extLst>
            <a:ext uri="{FF2B5EF4-FFF2-40B4-BE49-F238E27FC236}">
              <a16:creationId xmlns:a16="http://schemas.microsoft.com/office/drawing/2014/main" id="{00000000-0008-0000-0000-0000B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23" name="Picture 250" descr="http://www.conermex.com.mx/images/pdf-opt.png">
          <a:hlinkClick xmlns:r="http://schemas.openxmlformats.org/officeDocument/2006/relationships" r:id="rId12" tgtFrame="_blank"/>
          <a:extLst>
            <a:ext uri="{FF2B5EF4-FFF2-40B4-BE49-F238E27FC236}">
              <a16:creationId xmlns:a16="http://schemas.microsoft.com/office/drawing/2014/main" id="{00000000-0008-0000-0000-0000BA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24" name="Picture 251" descr="http://www.conermex.com.mx/images/pdf-opt.png">
          <a:hlinkClick xmlns:r="http://schemas.openxmlformats.org/officeDocument/2006/relationships" r:id="rId13" tgtFrame="_blank"/>
          <a:extLst>
            <a:ext uri="{FF2B5EF4-FFF2-40B4-BE49-F238E27FC236}">
              <a16:creationId xmlns:a16="http://schemas.microsoft.com/office/drawing/2014/main" id="{00000000-0008-0000-0000-0000BB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25" name="Picture 252" descr="http://www.conermex.com.mx/images/pdf-opt.png">
          <a:hlinkClick xmlns:r="http://schemas.openxmlformats.org/officeDocument/2006/relationships" r:id="rId13" tgtFrame="_blank"/>
          <a:extLst>
            <a:ext uri="{FF2B5EF4-FFF2-40B4-BE49-F238E27FC236}">
              <a16:creationId xmlns:a16="http://schemas.microsoft.com/office/drawing/2014/main" id="{00000000-0008-0000-0000-0000BC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26" name="Picture 114" descr="http://www.conermex.com.mx/images/pdf-opt.png">
          <a:hlinkClick xmlns:r="http://schemas.openxmlformats.org/officeDocument/2006/relationships" r:id="rId14" tgtFrame="_blank"/>
          <a:extLst>
            <a:ext uri="{FF2B5EF4-FFF2-40B4-BE49-F238E27FC236}">
              <a16:creationId xmlns:a16="http://schemas.microsoft.com/office/drawing/2014/main" id="{00000000-0008-0000-0000-0000BE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27" name="Picture 115" descr="http://www.conermex.com.mx/images/pdf-opt.png">
          <a:hlinkClick xmlns:r="http://schemas.openxmlformats.org/officeDocument/2006/relationships" r:id="rId15" tgtFrame="_blank"/>
          <a:extLst>
            <a:ext uri="{FF2B5EF4-FFF2-40B4-BE49-F238E27FC236}">
              <a16:creationId xmlns:a16="http://schemas.microsoft.com/office/drawing/2014/main" id="{00000000-0008-0000-0000-0000BF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28" name="Picture 116" descr="http://www.conermex.com.mx/images/pdf-opt.png">
          <a:hlinkClick xmlns:r="http://schemas.openxmlformats.org/officeDocument/2006/relationships" r:id="rId16" tgtFrame="_blank"/>
          <a:extLst>
            <a:ext uri="{FF2B5EF4-FFF2-40B4-BE49-F238E27FC236}">
              <a16:creationId xmlns:a16="http://schemas.microsoft.com/office/drawing/2014/main" id="{00000000-0008-0000-0000-0000C0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29" name="Picture 117" descr="http://www.conermex.com.mx/images/pdf-opt.png">
          <a:hlinkClick xmlns:r="http://schemas.openxmlformats.org/officeDocument/2006/relationships" r:id="rId17" tgtFrame="_blank"/>
          <a:extLst>
            <a:ext uri="{FF2B5EF4-FFF2-40B4-BE49-F238E27FC236}">
              <a16:creationId xmlns:a16="http://schemas.microsoft.com/office/drawing/2014/main" id="{00000000-0008-0000-0000-0000C1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30" name="Picture 118" descr="http://www.conermex.com.mx/images/pdf-opt.png">
          <a:hlinkClick xmlns:r="http://schemas.openxmlformats.org/officeDocument/2006/relationships" r:id="rId18" tgtFrame="_blank"/>
          <a:extLst>
            <a:ext uri="{FF2B5EF4-FFF2-40B4-BE49-F238E27FC236}">
              <a16:creationId xmlns:a16="http://schemas.microsoft.com/office/drawing/2014/main" id="{00000000-0008-0000-0000-0000C2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31" name="Picture 119" descr="http://www.conermex.com.mx/images/pdf-opt.png">
          <a:hlinkClick xmlns:r="http://schemas.openxmlformats.org/officeDocument/2006/relationships" r:id="rId19" tgtFrame="_blank"/>
          <a:extLst>
            <a:ext uri="{FF2B5EF4-FFF2-40B4-BE49-F238E27FC236}">
              <a16:creationId xmlns:a16="http://schemas.microsoft.com/office/drawing/2014/main" id="{00000000-0008-0000-0000-0000C3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32" name="Picture 120" descr="http://www.conermex.com.mx/images/pdf-opt-gris.png">
          <a:extLst>
            <a:ext uri="{FF2B5EF4-FFF2-40B4-BE49-F238E27FC236}">
              <a16:creationId xmlns:a16="http://schemas.microsoft.com/office/drawing/2014/main" id="{00000000-0008-0000-0000-0000C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33" name="Picture 121" descr="http://www.conermex.com.mx/images/pdf-opt.png">
          <a:hlinkClick xmlns:r="http://schemas.openxmlformats.org/officeDocument/2006/relationships" r:id="rId20"/>
          <a:extLst>
            <a:ext uri="{FF2B5EF4-FFF2-40B4-BE49-F238E27FC236}">
              <a16:creationId xmlns:a16="http://schemas.microsoft.com/office/drawing/2014/main" id="{00000000-0008-0000-0000-0000C5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34" name="Picture 122" descr="http://www.conermex.com.mx/images/pdf-opt-gris.png">
          <a:extLst>
            <a:ext uri="{FF2B5EF4-FFF2-40B4-BE49-F238E27FC236}">
              <a16:creationId xmlns:a16="http://schemas.microsoft.com/office/drawing/2014/main" id="{00000000-0008-0000-0000-0000C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35" name="Picture 123" descr="http://www.conermex.com.mx/images/pdf-opt-gris.png">
          <a:extLst>
            <a:ext uri="{FF2B5EF4-FFF2-40B4-BE49-F238E27FC236}">
              <a16:creationId xmlns:a16="http://schemas.microsoft.com/office/drawing/2014/main" id="{00000000-0008-0000-0000-0000C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36" name="Picture 124" descr="http://www.conermex.com.mx/images/pdf-opt-gris.png">
          <a:extLst>
            <a:ext uri="{FF2B5EF4-FFF2-40B4-BE49-F238E27FC236}">
              <a16:creationId xmlns:a16="http://schemas.microsoft.com/office/drawing/2014/main" id="{00000000-0008-0000-0000-0000C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37" name="Picture 125"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C9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38" name="Picture 126"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CA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39" name="Picture 127"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CB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40" name="Picture 128"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CC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41" name="Picture 129" descr="http://www.conermex.com.mx/images/pdf-opt-gris.png">
          <a:extLst>
            <a:ext uri="{FF2B5EF4-FFF2-40B4-BE49-F238E27FC236}">
              <a16:creationId xmlns:a16="http://schemas.microsoft.com/office/drawing/2014/main" id="{00000000-0008-0000-0000-0000C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42" name="Picture 130"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CE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43" name="Picture 131"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CF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44" name="Picture 132"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D0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45" name="Picture 133"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D1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46" name="Picture 134" descr="http://www.conermex.com.mx/images/pdf-opt.png">
          <a:hlinkClick xmlns:r="http://schemas.openxmlformats.org/officeDocument/2006/relationships" r:id="rId5" tgtFrame="_blank"/>
          <a:extLst>
            <a:ext uri="{FF2B5EF4-FFF2-40B4-BE49-F238E27FC236}">
              <a16:creationId xmlns:a16="http://schemas.microsoft.com/office/drawing/2014/main" id="{00000000-0008-0000-0000-0000D2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47" name="Picture 135" descr="http://www.conermex.com.mx/images/pdf-opt.png">
          <a:hlinkClick xmlns:r="http://schemas.openxmlformats.org/officeDocument/2006/relationships" r:id="rId5" tgtFrame="_blank"/>
          <a:extLst>
            <a:ext uri="{FF2B5EF4-FFF2-40B4-BE49-F238E27FC236}">
              <a16:creationId xmlns:a16="http://schemas.microsoft.com/office/drawing/2014/main" id="{00000000-0008-0000-0000-0000D3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48" name="Picture 136"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D4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49" name="Picture 137"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D5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50" name="Picture 138"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D6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51" name="Picture 139"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D7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52" name="Picture 140"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D8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53" name="Picture 141"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D9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54" name="Picture 142"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DA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55" name="Picture 143" descr="http://www.conermex.com.mx/images/pdf-opt.png">
          <a:hlinkClick xmlns:r="http://schemas.openxmlformats.org/officeDocument/2006/relationships" r:id="rId8" tgtFrame="_blank"/>
          <a:extLst>
            <a:ext uri="{FF2B5EF4-FFF2-40B4-BE49-F238E27FC236}">
              <a16:creationId xmlns:a16="http://schemas.microsoft.com/office/drawing/2014/main" id="{00000000-0008-0000-0000-0000DB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56" name="Picture 144" descr="http://www.conermex.com.mx/images/pdf-opt.png">
          <a:hlinkClick xmlns:r="http://schemas.openxmlformats.org/officeDocument/2006/relationships" r:id="rId9" tgtFrame="_blank"/>
          <a:extLst>
            <a:ext uri="{FF2B5EF4-FFF2-40B4-BE49-F238E27FC236}">
              <a16:creationId xmlns:a16="http://schemas.microsoft.com/office/drawing/2014/main" id="{00000000-0008-0000-0000-0000DC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57" name="Picture 145" descr="http://www.conermex.com.mx/images/pdf-opt-gris.png">
          <a:extLst>
            <a:ext uri="{FF2B5EF4-FFF2-40B4-BE49-F238E27FC236}">
              <a16:creationId xmlns:a16="http://schemas.microsoft.com/office/drawing/2014/main" id="{00000000-0008-0000-0000-0000D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58" name="Picture 146" descr="http://www.conermex.com.mx/images/pdf-opt-gris.png">
          <a:extLst>
            <a:ext uri="{FF2B5EF4-FFF2-40B4-BE49-F238E27FC236}">
              <a16:creationId xmlns:a16="http://schemas.microsoft.com/office/drawing/2014/main" id="{00000000-0008-0000-0000-0000D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59" name="Picture 147" descr="http://www.conermex.com.mx/images/pdf-opt-gris.png">
          <a:extLst>
            <a:ext uri="{FF2B5EF4-FFF2-40B4-BE49-F238E27FC236}">
              <a16:creationId xmlns:a16="http://schemas.microsoft.com/office/drawing/2014/main" id="{00000000-0008-0000-0000-0000D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60" name="Picture 148" descr="http://www.conermex.com.mx/images/pdf-opt-gris.png">
          <a:extLst>
            <a:ext uri="{FF2B5EF4-FFF2-40B4-BE49-F238E27FC236}">
              <a16:creationId xmlns:a16="http://schemas.microsoft.com/office/drawing/2014/main" id="{00000000-0008-0000-0000-0000E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61" name="Picture 149" descr="http://www.conermex.com.mx/images/pdf-opt-gris.png">
          <a:extLst>
            <a:ext uri="{FF2B5EF4-FFF2-40B4-BE49-F238E27FC236}">
              <a16:creationId xmlns:a16="http://schemas.microsoft.com/office/drawing/2014/main" id="{00000000-0008-0000-0000-0000E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62" name="Picture 150" descr="http://www.conermex.com.mx/images/pdf-opt-gris.png">
          <a:extLst>
            <a:ext uri="{FF2B5EF4-FFF2-40B4-BE49-F238E27FC236}">
              <a16:creationId xmlns:a16="http://schemas.microsoft.com/office/drawing/2014/main" id="{00000000-0008-0000-0000-0000E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63" name="Picture 151" descr="http://www.conermex.com.mx/images/pdf-opt-gris.png">
          <a:extLst>
            <a:ext uri="{FF2B5EF4-FFF2-40B4-BE49-F238E27FC236}">
              <a16:creationId xmlns:a16="http://schemas.microsoft.com/office/drawing/2014/main" id="{00000000-0008-0000-0000-0000E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64" name="Picture 152" descr="http://www.conermex.com.mx/images/pdf-opt-gris.png">
          <a:extLst>
            <a:ext uri="{FF2B5EF4-FFF2-40B4-BE49-F238E27FC236}">
              <a16:creationId xmlns:a16="http://schemas.microsoft.com/office/drawing/2014/main" id="{00000000-0008-0000-0000-0000E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65" name="Picture 153" descr="http://www.conermex.com.mx/images/pdf-opt-gris.png">
          <a:extLst>
            <a:ext uri="{FF2B5EF4-FFF2-40B4-BE49-F238E27FC236}">
              <a16:creationId xmlns:a16="http://schemas.microsoft.com/office/drawing/2014/main" id="{00000000-0008-0000-0000-0000E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66" name="Picture 154" descr="http://www.conermex.com.mx/images/pdf-opt-gris.png">
          <a:extLst>
            <a:ext uri="{FF2B5EF4-FFF2-40B4-BE49-F238E27FC236}">
              <a16:creationId xmlns:a16="http://schemas.microsoft.com/office/drawing/2014/main" id="{00000000-0008-0000-0000-0000E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67" name="Picture 155" descr="http://www.conermex.com.mx/images/pdf-opt-gris.png">
          <a:extLst>
            <a:ext uri="{FF2B5EF4-FFF2-40B4-BE49-F238E27FC236}">
              <a16:creationId xmlns:a16="http://schemas.microsoft.com/office/drawing/2014/main" id="{00000000-0008-0000-0000-0000E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68" name="Picture 156" descr="http://www.conermex.com.mx/images/pdf-opt-gris.png">
          <a:extLst>
            <a:ext uri="{FF2B5EF4-FFF2-40B4-BE49-F238E27FC236}">
              <a16:creationId xmlns:a16="http://schemas.microsoft.com/office/drawing/2014/main" id="{00000000-0008-0000-0000-0000E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69" name="Picture 157" descr="http://www.conermex.com.mx/images/pdf-opt-gris.png">
          <a:extLst>
            <a:ext uri="{FF2B5EF4-FFF2-40B4-BE49-F238E27FC236}">
              <a16:creationId xmlns:a16="http://schemas.microsoft.com/office/drawing/2014/main" id="{00000000-0008-0000-0000-0000E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70" name="Picture 158" descr="http://www.conermex.com.mx/images/pdf-opt-gris.png">
          <a:extLst>
            <a:ext uri="{FF2B5EF4-FFF2-40B4-BE49-F238E27FC236}">
              <a16:creationId xmlns:a16="http://schemas.microsoft.com/office/drawing/2014/main" id="{00000000-0008-0000-0000-0000E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71" name="Picture 159" descr="http://www.conermex.com.mx/images/pdf-opt-gris.png">
          <a:extLst>
            <a:ext uri="{FF2B5EF4-FFF2-40B4-BE49-F238E27FC236}">
              <a16:creationId xmlns:a16="http://schemas.microsoft.com/office/drawing/2014/main" id="{00000000-0008-0000-0000-0000E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72" name="Picture 160" descr="http://www.conermex.com.mx/images/pdf-opt-gris.png">
          <a:extLst>
            <a:ext uri="{FF2B5EF4-FFF2-40B4-BE49-F238E27FC236}">
              <a16:creationId xmlns:a16="http://schemas.microsoft.com/office/drawing/2014/main" id="{00000000-0008-0000-0000-0000E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73" name="Picture 161" descr="http://www.conermex.com.mx/images/pdf-opt-gris.png">
          <a:extLst>
            <a:ext uri="{FF2B5EF4-FFF2-40B4-BE49-F238E27FC236}">
              <a16:creationId xmlns:a16="http://schemas.microsoft.com/office/drawing/2014/main" id="{00000000-0008-0000-0000-0000E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74" name="Picture 162" descr="http://www.conermex.com.mx/images/pdf-opt-gris.png">
          <a:extLst>
            <a:ext uri="{FF2B5EF4-FFF2-40B4-BE49-F238E27FC236}">
              <a16:creationId xmlns:a16="http://schemas.microsoft.com/office/drawing/2014/main" id="{00000000-0008-0000-0000-0000E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75" name="Picture 163" descr="http://www.conermex.com.mx/images/pdf-opt-gris.png">
          <a:extLst>
            <a:ext uri="{FF2B5EF4-FFF2-40B4-BE49-F238E27FC236}">
              <a16:creationId xmlns:a16="http://schemas.microsoft.com/office/drawing/2014/main" id="{00000000-0008-0000-0000-0000E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76" name="Picture 164" descr="http://www.conermex.com.mx/images/pdf-opt-gris.png">
          <a:extLst>
            <a:ext uri="{FF2B5EF4-FFF2-40B4-BE49-F238E27FC236}">
              <a16:creationId xmlns:a16="http://schemas.microsoft.com/office/drawing/2014/main" id="{00000000-0008-0000-0000-0000F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77" name="Picture 165" descr="http://www.conermex.com.mx/images/pdf-opt-gris.png">
          <a:extLst>
            <a:ext uri="{FF2B5EF4-FFF2-40B4-BE49-F238E27FC236}">
              <a16:creationId xmlns:a16="http://schemas.microsoft.com/office/drawing/2014/main" id="{00000000-0008-0000-0000-0000F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78" name="Picture 166" descr="http://www.conermex.com.mx/images/pdf-opt-gris.png">
          <a:extLst>
            <a:ext uri="{FF2B5EF4-FFF2-40B4-BE49-F238E27FC236}">
              <a16:creationId xmlns:a16="http://schemas.microsoft.com/office/drawing/2014/main" id="{00000000-0008-0000-0000-0000F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79" name="Picture 167" descr="http://www.conermex.com.mx/images/pdf-opt-gris.png">
          <a:extLst>
            <a:ext uri="{FF2B5EF4-FFF2-40B4-BE49-F238E27FC236}">
              <a16:creationId xmlns:a16="http://schemas.microsoft.com/office/drawing/2014/main" id="{00000000-0008-0000-0000-0000F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80" name="Picture 168" descr="http://www.conermex.com.mx/images/pdf-opt-gris.png">
          <a:extLst>
            <a:ext uri="{FF2B5EF4-FFF2-40B4-BE49-F238E27FC236}">
              <a16:creationId xmlns:a16="http://schemas.microsoft.com/office/drawing/2014/main" id="{00000000-0008-0000-0000-0000F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81" name="Picture 169" descr="http://www.conermex.com.mx/images/pdf-opt-gris.png">
          <a:extLst>
            <a:ext uri="{FF2B5EF4-FFF2-40B4-BE49-F238E27FC236}">
              <a16:creationId xmlns:a16="http://schemas.microsoft.com/office/drawing/2014/main" id="{00000000-0008-0000-0000-0000F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82" name="Picture 170" descr="http://www.conermex.com.mx/images/pdf-opt-gris.png">
          <a:extLst>
            <a:ext uri="{FF2B5EF4-FFF2-40B4-BE49-F238E27FC236}">
              <a16:creationId xmlns:a16="http://schemas.microsoft.com/office/drawing/2014/main" id="{00000000-0008-0000-0000-0000F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83" name="Picture 171" descr="http://www.conermex.com.mx/images/pdf-opt-gris.png">
          <a:extLst>
            <a:ext uri="{FF2B5EF4-FFF2-40B4-BE49-F238E27FC236}">
              <a16:creationId xmlns:a16="http://schemas.microsoft.com/office/drawing/2014/main" id="{00000000-0008-0000-0000-0000F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84" name="Picture 172" descr="http://www.conermex.com.mx/images/pdf-opt-gris.png">
          <a:extLst>
            <a:ext uri="{FF2B5EF4-FFF2-40B4-BE49-F238E27FC236}">
              <a16:creationId xmlns:a16="http://schemas.microsoft.com/office/drawing/2014/main" id="{00000000-0008-0000-0000-0000F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85" name="Picture 173" descr="http://www.conermex.com.mx/images/pdf-opt-gris.png">
          <a:extLst>
            <a:ext uri="{FF2B5EF4-FFF2-40B4-BE49-F238E27FC236}">
              <a16:creationId xmlns:a16="http://schemas.microsoft.com/office/drawing/2014/main" id="{00000000-0008-0000-0000-0000F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86" name="Picture 174" descr="http://www.conermex.com.mx/images/pdf-opt-gris.png">
          <a:extLst>
            <a:ext uri="{FF2B5EF4-FFF2-40B4-BE49-F238E27FC236}">
              <a16:creationId xmlns:a16="http://schemas.microsoft.com/office/drawing/2014/main" id="{00000000-0008-0000-0000-0000F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87" name="Picture 175" descr="http://www.conermex.com.mx/images/pdf-opt-gris.png">
          <a:extLst>
            <a:ext uri="{FF2B5EF4-FFF2-40B4-BE49-F238E27FC236}">
              <a16:creationId xmlns:a16="http://schemas.microsoft.com/office/drawing/2014/main" id="{00000000-0008-0000-0000-0000F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88" name="Picture 176" descr="http://www.conermex.com.mx/images/pdf-opt-gris.png">
          <a:extLst>
            <a:ext uri="{FF2B5EF4-FFF2-40B4-BE49-F238E27FC236}">
              <a16:creationId xmlns:a16="http://schemas.microsoft.com/office/drawing/2014/main" id="{00000000-0008-0000-0000-0000F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89" name="Picture 177" descr="http://www.conermex.com.mx/images/pdf-opt-gris.png">
          <a:extLst>
            <a:ext uri="{FF2B5EF4-FFF2-40B4-BE49-F238E27FC236}">
              <a16:creationId xmlns:a16="http://schemas.microsoft.com/office/drawing/2014/main" id="{00000000-0008-0000-0000-0000F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90" name="Picture 178" descr="http://www.conermex.com.mx/images/pdf-opt-gris.png">
          <a:extLst>
            <a:ext uri="{FF2B5EF4-FFF2-40B4-BE49-F238E27FC236}">
              <a16:creationId xmlns:a16="http://schemas.microsoft.com/office/drawing/2014/main" id="{00000000-0008-0000-0000-0000F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91" name="Picture 179" descr="http://www.conermex.com.mx/images/pdf-opt-gris.png">
          <a:extLst>
            <a:ext uri="{FF2B5EF4-FFF2-40B4-BE49-F238E27FC236}">
              <a16:creationId xmlns:a16="http://schemas.microsoft.com/office/drawing/2014/main" id="{00000000-0008-0000-0000-0000F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92" name="Picture 180" descr="http://www.conermex.com.mx/images/pdf-opt-gris.png">
          <a:extLst>
            <a:ext uri="{FF2B5EF4-FFF2-40B4-BE49-F238E27FC236}">
              <a16:creationId xmlns:a16="http://schemas.microsoft.com/office/drawing/2014/main" id="{00000000-0008-0000-0000-000000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93" name="Picture 181" descr="http://www.conermex.com.mx/images/pdf-opt-gris.png">
          <a:extLst>
            <a:ext uri="{FF2B5EF4-FFF2-40B4-BE49-F238E27FC236}">
              <a16:creationId xmlns:a16="http://schemas.microsoft.com/office/drawing/2014/main" id="{00000000-0008-0000-0000-000001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94" name="Picture 182" descr="http://www.conermex.com.mx/images/pdf-opt-gris.png">
          <a:extLst>
            <a:ext uri="{FF2B5EF4-FFF2-40B4-BE49-F238E27FC236}">
              <a16:creationId xmlns:a16="http://schemas.microsoft.com/office/drawing/2014/main" id="{00000000-0008-0000-0000-000002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95" name="Picture 183" descr="http://www.conermex.com.mx/images/pdf-opt-gris.png">
          <a:extLst>
            <a:ext uri="{FF2B5EF4-FFF2-40B4-BE49-F238E27FC236}">
              <a16:creationId xmlns:a16="http://schemas.microsoft.com/office/drawing/2014/main" id="{00000000-0008-0000-0000-000003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96" name="Picture 184" descr="http://www.conermex.com.mx/images/pdf-opt-gris.png">
          <a:extLst>
            <a:ext uri="{FF2B5EF4-FFF2-40B4-BE49-F238E27FC236}">
              <a16:creationId xmlns:a16="http://schemas.microsoft.com/office/drawing/2014/main" id="{00000000-0008-0000-0000-000004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97" name="Picture 185" descr="http://www.conermex.com.mx/images/pdf-opt-gris.png">
          <a:extLst>
            <a:ext uri="{FF2B5EF4-FFF2-40B4-BE49-F238E27FC236}">
              <a16:creationId xmlns:a16="http://schemas.microsoft.com/office/drawing/2014/main" id="{00000000-0008-0000-0000-000005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98" name="Picture 186" descr="http://www.conermex.com.mx/images/pdf-opt-gris.png">
          <a:extLst>
            <a:ext uri="{FF2B5EF4-FFF2-40B4-BE49-F238E27FC236}">
              <a16:creationId xmlns:a16="http://schemas.microsoft.com/office/drawing/2014/main" id="{00000000-0008-0000-0000-000006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899" name="Picture 187" descr="http://www.conermex.com.mx/images/pdf-opt-gris.png">
          <a:extLst>
            <a:ext uri="{FF2B5EF4-FFF2-40B4-BE49-F238E27FC236}">
              <a16:creationId xmlns:a16="http://schemas.microsoft.com/office/drawing/2014/main" id="{00000000-0008-0000-0000-000007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900" name="Picture 188" descr="http://www.conermex.com.mx/images/pdf-opt-gris.png">
          <a:extLst>
            <a:ext uri="{FF2B5EF4-FFF2-40B4-BE49-F238E27FC236}">
              <a16:creationId xmlns:a16="http://schemas.microsoft.com/office/drawing/2014/main" id="{00000000-0008-0000-0000-000008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901" name="Picture 189" descr="http://www.conermex.com.mx/images/pdf-opt-gris.png">
          <a:extLst>
            <a:ext uri="{FF2B5EF4-FFF2-40B4-BE49-F238E27FC236}">
              <a16:creationId xmlns:a16="http://schemas.microsoft.com/office/drawing/2014/main" id="{00000000-0008-0000-0000-000009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902" name="Picture 190" descr="http://www.conermex.com.mx/images/pdf-opt-gris.png">
          <a:extLst>
            <a:ext uri="{FF2B5EF4-FFF2-40B4-BE49-F238E27FC236}">
              <a16:creationId xmlns:a16="http://schemas.microsoft.com/office/drawing/2014/main" id="{00000000-0008-0000-0000-00000A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903" name="Picture 191" descr="http://www.conermex.com.mx/images/pdf-opt-gris.png">
          <a:extLst>
            <a:ext uri="{FF2B5EF4-FFF2-40B4-BE49-F238E27FC236}">
              <a16:creationId xmlns:a16="http://schemas.microsoft.com/office/drawing/2014/main" id="{00000000-0008-0000-0000-00000B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904" name="Picture 192" descr="http://www.conermex.com.mx/images/pdf-opt-gris.png">
          <a:extLst>
            <a:ext uri="{FF2B5EF4-FFF2-40B4-BE49-F238E27FC236}">
              <a16:creationId xmlns:a16="http://schemas.microsoft.com/office/drawing/2014/main" id="{00000000-0008-0000-0000-00000C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905" name="Picture 193" descr="http://www.conermex.com.mx/images/pdf-opt-gris.png">
          <a:extLst>
            <a:ext uri="{FF2B5EF4-FFF2-40B4-BE49-F238E27FC236}">
              <a16:creationId xmlns:a16="http://schemas.microsoft.com/office/drawing/2014/main" id="{00000000-0008-0000-0000-00000D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906" name="Picture 194" descr="http://www.conermex.com.mx/images/pdf-opt-gris.png">
          <a:extLst>
            <a:ext uri="{FF2B5EF4-FFF2-40B4-BE49-F238E27FC236}">
              <a16:creationId xmlns:a16="http://schemas.microsoft.com/office/drawing/2014/main" id="{00000000-0008-0000-0000-00000E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907" name="Picture 195" descr="http://www.conermex.com.mx/images/pdf-opt-gris.png">
          <a:extLst>
            <a:ext uri="{FF2B5EF4-FFF2-40B4-BE49-F238E27FC236}">
              <a16:creationId xmlns:a16="http://schemas.microsoft.com/office/drawing/2014/main" id="{00000000-0008-0000-0000-00000F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908" name="Picture 196" descr="http://www.conermex.com.mx/images/pdf-opt-gris.png">
          <a:extLst>
            <a:ext uri="{FF2B5EF4-FFF2-40B4-BE49-F238E27FC236}">
              <a16:creationId xmlns:a16="http://schemas.microsoft.com/office/drawing/2014/main" id="{00000000-0008-0000-0000-000010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909" name="Picture 197" descr="http://www.conermex.com.mx/images/pdf-opt-gris.png">
          <a:extLst>
            <a:ext uri="{FF2B5EF4-FFF2-40B4-BE49-F238E27FC236}">
              <a16:creationId xmlns:a16="http://schemas.microsoft.com/office/drawing/2014/main" id="{00000000-0008-0000-0000-000011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910" name="Picture 198" descr="http://www.conermex.com.mx/images/pdf-opt-gris.png">
          <a:extLst>
            <a:ext uri="{FF2B5EF4-FFF2-40B4-BE49-F238E27FC236}">
              <a16:creationId xmlns:a16="http://schemas.microsoft.com/office/drawing/2014/main" id="{00000000-0008-0000-0000-000012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911" name="Picture 199" descr="http://www.conermex.com.mx/images/pdf-opt-gris.png">
          <a:extLst>
            <a:ext uri="{FF2B5EF4-FFF2-40B4-BE49-F238E27FC236}">
              <a16:creationId xmlns:a16="http://schemas.microsoft.com/office/drawing/2014/main" id="{00000000-0008-0000-0000-000013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912" name="Picture 200" descr="http://www.conermex.com.mx/images/pdf-opt-gris.png">
          <a:extLst>
            <a:ext uri="{FF2B5EF4-FFF2-40B4-BE49-F238E27FC236}">
              <a16:creationId xmlns:a16="http://schemas.microsoft.com/office/drawing/2014/main" id="{00000000-0008-0000-0000-000014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913" name="Picture 201" descr="http://www.conermex.com.mx/images/pdf-opt-gris.png">
          <a:extLst>
            <a:ext uri="{FF2B5EF4-FFF2-40B4-BE49-F238E27FC236}">
              <a16:creationId xmlns:a16="http://schemas.microsoft.com/office/drawing/2014/main" id="{00000000-0008-0000-0000-000015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914" name="Picture 202" descr="http://www.conermex.com.mx/images/pdf-opt-gris.png">
          <a:extLst>
            <a:ext uri="{FF2B5EF4-FFF2-40B4-BE49-F238E27FC236}">
              <a16:creationId xmlns:a16="http://schemas.microsoft.com/office/drawing/2014/main" id="{00000000-0008-0000-0000-000016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915" name="Picture 203" descr="http://www.conermex.com.mx/images/pdf-opt-gris.png">
          <a:extLst>
            <a:ext uri="{FF2B5EF4-FFF2-40B4-BE49-F238E27FC236}">
              <a16:creationId xmlns:a16="http://schemas.microsoft.com/office/drawing/2014/main" id="{00000000-0008-0000-0000-000017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916" name="Picture 204" descr="http://www.conermex.com.mx/images/pdf-opt-gris.png">
          <a:extLst>
            <a:ext uri="{FF2B5EF4-FFF2-40B4-BE49-F238E27FC236}">
              <a16:creationId xmlns:a16="http://schemas.microsoft.com/office/drawing/2014/main" id="{00000000-0008-0000-0000-000018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917" name="Picture 205" descr="http://www.conermex.com.mx/images/pdf-opt-gris.png">
          <a:extLst>
            <a:ext uri="{FF2B5EF4-FFF2-40B4-BE49-F238E27FC236}">
              <a16:creationId xmlns:a16="http://schemas.microsoft.com/office/drawing/2014/main" id="{00000000-0008-0000-0000-000019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918" name="Picture 206" descr="http://www.conermex.com.mx/images/pdf-opt-gris.png">
          <a:extLst>
            <a:ext uri="{FF2B5EF4-FFF2-40B4-BE49-F238E27FC236}">
              <a16:creationId xmlns:a16="http://schemas.microsoft.com/office/drawing/2014/main" id="{00000000-0008-0000-0000-00001A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919" name="Picture 207" descr="http://www.conermex.com.mx/images/pdf-opt-gris.png">
          <a:extLst>
            <a:ext uri="{FF2B5EF4-FFF2-40B4-BE49-F238E27FC236}">
              <a16:creationId xmlns:a16="http://schemas.microsoft.com/office/drawing/2014/main" id="{00000000-0008-0000-0000-00001B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920" name="Picture 208" descr="http://www.conermex.com.mx/images/pdf-opt-gris.png">
          <a:extLst>
            <a:ext uri="{FF2B5EF4-FFF2-40B4-BE49-F238E27FC236}">
              <a16:creationId xmlns:a16="http://schemas.microsoft.com/office/drawing/2014/main" id="{00000000-0008-0000-0000-00001C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921" name="Picture 209" descr="http://www.conermex.com.mx/images/pdf-opt-gris.png">
          <a:extLst>
            <a:ext uri="{FF2B5EF4-FFF2-40B4-BE49-F238E27FC236}">
              <a16:creationId xmlns:a16="http://schemas.microsoft.com/office/drawing/2014/main" id="{00000000-0008-0000-0000-00001D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922" name="Picture 210" descr="http://www.conermex.com.mx/images/pdf-opt-gris.png">
          <a:extLst>
            <a:ext uri="{FF2B5EF4-FFF2-40B4-BE49-F238E27FC236}">
              <a16:creationId xmlns:a16="http://schemas.microsoft.com/office/drawing/2014/main" id="{00000000-0008-0000-0000-00001E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923" name="Picture 211" descr="http://www.conermex.com.mx/images/pdf-opt-gris.png">
          <a:extLst>
            <a:ext uri="{FF2B5EF4-FFF2-40B4-BE49-F238E27FC236}">
              <a16:creationId xmlns:a16="http://schemas.microsoft.com/office/drawing/2014/main" id="{00000000-0008-0000-0000-00001F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924" name="Picture 212" descr="http://www.conermex.com.mx/images/pdf-opt-gris.png">
          <a:extLst>
            <a:ext uri="{FF2B5EF4-FFF2-40B4-BE49-F238E27FC236}">
              <a16:creationId xmlns:a16="http://schemas.microsoft.com/office/drawing/2014/main" id="{00000000-0008-0000-0000-000020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925" name="Picture 213" descr="http://www.conermex.com.mx/images/pdf-opt-gris.png">
          <a:extLst>
            <a:ext uri="{FF2B5EF4-FFF2-40B4-BE49-F238E27FC236}">
              <a16:creationId xmlns:a16="http://schemas.microsoft.com/office/drawing/2014/main" id="{00000000-0008-0000-0000-000021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926" name="Picture 214" descr="http://www.conermex.com.mx/images/pdf-opt-gris.png">
          <a:extLst>
            <a:ext uri="{FF2B5EF4-FFF2-40B4-BE49-F238E27FC236}">
              <a16:creationId xmlns:a16="http://schemas.microsoft.com/office/drawing/2014/main" id="{00000000-0008-0000-0000-000022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927" name="Picture 215" descr="http://www.conermex.com.mx/images/pdf-opt-gris.png">
          <a:extLst>
            <a:ext uri="{FF2B5EF4-FFF2-40B4-BE49-F238E27FC236}">
              <a16:creationId xmlns:a16="http://schemas.microsoft.com/office/drawing/2014/main" id="{00000000-0008-0000-0000-000023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928" name="Picture 216" descr="http://www.conermex.com.mx/images/pdf-opt-gris.png">
          <a:extLst>
            <a:ext uri="{FF2B5EF4-FFF2-40B4-BE49-F238E27FC236}">
              <a16:creationId xmlns:a16="http://schemas.microsoft.com/office/drawing/2014/main" id="{00000000-0008-0000-0000-000024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929" name="Picture 217" descr="http://www.conermex.com.mx/images/pdf-opt-gris.png">
          <a:extLst>
            <a:ext uri="{FF2B5EF4-FFF2-40B4-BE49-F238E27FC236}">
              <a16:creationId xmlns:a16="http://schemas.microsoft.com/office/drawing/2014/main" id="{00000000-0008-0000-0000-000025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930" name="Picture 218" descr="http://www.conermex.com.mx/images/pdf-opt-gris.png">
          <a:extLst>
            <a:ext uri="{FF2B5EF4-FFF2-40B4-BE49-F238E27FC236}">
              <a16:creationId xmlns:a16="http://schemas.microsoft.com/office/drawing/2014/main" id="{00000000-0008-0000-0000-000026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931" name="Picture 219" descr="http://www.conermex.com.mx/images/pdf-opt-gris.png">
          <a:extLst>
            <a:ext uri="{FF2B5EF4-FFF2-40B4-BE49-F238E27FC236}">
              <a16:creationId xmlns:a16="http://schemas.microsoft.com/office/drawing/2014/main" id="{00000000-0008-0000-0000-000027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932" name="Picture 220" descr="http://www.conermex.com.mx/images/pdf-opt-gris.png">
          <a:extLst>
            <a:ext uri="{FF2B5EF4-FFF2-40B4-BE49-F238E27FC236}">
              <a16:creationId xmlns:a16="http://schemas.microsoft.com/office/drawing/2014/main" id="{00000000-0008-0000-0000-000028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933" name="Picture 221" descr="http://www.conermex.com.mx/images/pdf-opt-gris.png">
          <a:extLst>
            <a:ext uri="{FF2B5EF4-FFF2-40B4-BE49-F238E27FC236}">
              <a16:creationId xmlns:a16="http://schemas.microsoft.com/office/drawing/2014/main" id="{00000000-0008-0000-0000-000029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934" name="Picture 222" descr="http://www.conermex.com.mx/images/pdf-opt-gris.png">
          <a:extLst>
            <a:ext uri="{FF2B5EF4-FFF2-40B4-BE49-F238E27FC236}">
              <a16:creationId xmlns:a16="http://schemas.microsoft.com/office/drawing/2014/main" id="{00000000-0008-0000-0000-00002A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935" name="Picture 223" descr="http://www.conermex.com.mx/images/pdf-opt-gris.png">
          <a:extLst>
            <a:ext uri="{FF2B5EF4-FFF2-40B4-BE49-F238E27FC236}">
              <a16:creationId xmlns:a16="http://schemas.microsoft.com/office/drawing/2014/main" id="{00000000-0008-0000-0000-00002B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936" name="Picture 224" descr="http://www.conermex.com.mx/images/pdf-opt-gris.png">
          <a:extLst>
            <a:ext uri="{FF2B5EF4-FFF2-40B4-BE49-F238E27FC236}">
              <a16:creationId xmlns:a16="http://schemas.microsoft.com/office/drawing/2014/main" id="{00000000-0008-0000-0000-00002C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twoCellAnchor editAs="oneCell">
    <xdr:from>
      <xdr:col>3</xdr:col>
      <xdr:colOff>0</xdr:colOff>
      <xdr:row>200</xdr:row>
      <xdr:rowOff>0</xdr:rowOff>
    </xdr:from>
    <xdr:to>
      <xdr:col>3</xdr:col>
      <xdr:colOff>285750</xdr:colOff>
      <xdr:row>200</xdr:row>
      <xdr:rowOff>275915</xdr:rowOff>
    </xdr:to>
    <xdr:pic>
      <xdr:nvPicPr>
        <xdr:cNvPr id="937" name="Picture 225" descr="http://www.conermex.com.mx/images/pdf-opt-gris.png">
          <a:extLst>
            <a:ext uri="{FF2B5EF4-FFF2-40B4-BE49-F238E27FC236}">
              <a16:creationId xmlns:a16="http://schemas.microsoft.com/office/drawing/2014/main" id="{00000000-0008-0000-0000-00002D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1581150" y="93716475"/>
          <a:ext cx="285750" cy="275915"/>
        </a:xfrm>
        <a:prstGeom prst="rect">
          <a:avLst/>
        </a:prstGeom>
        <a:noFill/>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4</xdr:row>
          <xdr:rowOff>114300</xdr:rowOff>
        </xdr:from>
        <xdr:to>
          <xdr:col>6</xdr:col>
          <xdr:colOff>0</xdr:colOff>
          <xdr:row>5</xdr:row>
          <xdr:rowOff>9525</xdr:rowOff>
        </xdr:to>
        <xdr:sp macro="" textlink="">
          <xdr:nvSpPr>
            <xdr:cNvPr id="9250" name="Button 34" hidden="1">
              <a:extLst>
                <a:ext uri="{63B3BB69-23CF-44E3-9099-C40C66FF867C}">
                  <a14:compatExt spid="_x0000_s92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200" b="1" i="1" u="none" strike="noStrike" baseline="0">
                  <a:solidFill>
                    <a:srgbClr val="000080"/>
                  </a:solidFill>
                  <a:latin typeface="Calibri"/>
                  <a:cs typeface="Calibri"/>
                </a:rPr>
                <a:t>Borrar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3</xdr:row>
          <xdr:rowOff>171450</xdr:rowOff>
        </xdr:from>
        <xdr:to>
          <xdr:col>5</xdr:col>
          <xdr:colOff>0</xdr:colOff>
          <xdr:row>5</xdr:row>
          <xdr:rowOff>0</xdr:rowOff>
        </xdr:to>
        <xdr:sp macro="" textlink="">
          <xdr:nvSpPr>
            <xdr:cNvPr id="9253" name="Button 37" hidden="1">
              <a:extLst>
                <a:ext uri="{63B3BB69-23CF-44E3-9099-C40C66FF867C}">
                  <a14:compatExt spid="_x0000_s9253"/>
                </a:ext>
              </a:extLst>
            </xdr:cNvPr>
            <xdr:cNvSpPr/>
          </xdr:nvSpPr>
          <xdr:spPr bwMode="auto">
            <a:xfrm>
              <a:off x="0" y="0"/>
              <a:ext cx="0" cy="0"/>
            </a:xfrm>
            <a:prstGeom prst="rect">
              <a:avLst/>
            </a:prstGeom>
            <a:noFill/>
            <a:ln w="9525">
              <a:miter lim="800000"/>
              <a:headEnd/>
              <a:tailEnd/>
            </a:ln>
          </xdr:spPr>
          <xdr:txBody>
            <a:bodyPr vertOverflow="clip" wrap="square" lIns="82296" tIns="86868" rIns="82296" bIns="86868" anchor="ctr" upright="1"/>
            <a:lstStyle/>
            <a:p>
              <a:pPr algn="ctr" rtl="0">
                <a:defRPr sz="1000"/>
              </a:pPr>
              <a:r>
                <a:rPr lang="es-MX" sz="4800" b="1" i="1" u="none" strike="noStrike" baseline="0">
                  <a:solidFill>
                    <a:srgbClr val="FF0000"/>
                  </a:solidFill>
                  <a:latin typeface="Calibri"/>
                  <a:cs typeface="Calibri"/>
                </a:rPr>
                <a:t>Cotizador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66676</xdr:colOff>
      <xdr:row>0</xdr:row>
      <xdr:rowOff>9525</xdr:rowOff>
    </xdr:from>
    <xdr:to>
      <xdr:col>5</xdr:col>
      <xdr:colOff>1656</xdr:colOff>
      <xdr:row>1</xdr:row>
      <xdr:rowOff>0</xdr:rowOff>
    </xdr:to>
    <xdr:pic>
      <xdr:nvPicPr>
        <xdr:cNvPr id="2" name="1 Imagen" descr="MEMBRETE ENCABEZADO.jpg">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stretch>
          <a:fillRect/>
        </a:stretch>
      </xdr:blipFill>
      <xdr:spPr>
        <a:xfrm>
          <a:off x="66676" y="9525"/>
          <a:ext cx="6551127" cy="99267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4</xdr:col>
          <xdr:colOff>257175</xdr:colOff>
          <xdr:row>18</xdr:row>
          <xdr:rowOff>28575</xdr:rowOff>
        </xdr:from>
        <xdr:to>
          <xdr:col>5</xdr:col>
          <xdr:colOff>0</xdr:colOff>
          <xdr:row>19</xdr:row>
          <xdr:rowOff>171450</xdr:rowOff>
        </xdr:to>
        <xdr:sp macro="" textlink="">
          <xdr:nvSpPr>
            <xdr:cNvPr id="10251" name="Button 11" hidden="1">
              <a:extLst>
                <a:ext uri="{63B3BB69-23CF-44E3-9099-C40C66FF867C}">
                  <a14:compatExt spid="_x0000_s102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Ocultar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276225</xdr:colOff>
          <xdr:row>17</xdr:row>
          <xdr:rowOff>9525</xdr:rowOff>
        </xdr:from>
        <xdr:to>
          <xdr:col>4</xdr:col>
          <xdr:colOff>990600</xdr:colOff>
          <xdr:row>17</xdr:row>
          <xdr:rowOff>171450</xdr:rowOff>
        </xdr:to>
        <xdr:sp macro="" textlink="">
          <xdr:nvSpPr>
            <xdr:cNvPr id="10252" name="Button 12" hidden="1">
              <a:extLst>
                <a:ext uri="{63B3BB69-23CF-44E3-9099-C40C66FF867C}">
                  <a14:compatExt spid="_x0000_s102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cs typeface="Calibri"/>
                </a:rPr>
                <a:t>Mostrar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0</xdr:colOff>
      <xdr:row>7</xdr:row>
      <xdr:rowOff>0</xdr:rowOff>
    </xdr:from>
    <xdr:ext cx="285750" cy="275915"/>
    <xdr:pic>
      <xdr:nvPicPr>
        <xdr:cNvPr id="2" name="Picture 123" descr="http://www.conermex.com.mx/images/pdf-opt-gris.png">
          <a:extLst>
            <a:ext uri="{FF2B5EF4-FFF2-40B4-BE49-F238E27FC236}">
              <a16:creationId xmlns:a16="http://schemas.microsoft.com/office/drawing/2014/main" id="{00000000-0008-0000-0000-0000A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3" name="Picture 124" descr="http://www.conermex.com.mx/images/pdf-opt-gris.png">
          <a:extLst>
            <a:ext uri="{FF2B5EF4-FFF2-40B4-BE49-F238E27FC236}">
              <a16:creationId xmlns:a16="http://schemas.microsoft.com/office/drawing/2014/main" id="{00000000-0008-0000-0000-0000B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4" name="Picture 125"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B1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5" name="Picture 126"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B2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6" name="Picture 127"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B3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7" name="Picture 128"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B4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8" name="Picture 129" descr="http://www.conermex.com.mx/images/pdf-opt-gris.png">
          <a:extLst>
            <a:ext uri="{FF2B5EF4-FFF2-40B4-BE49-F238E27FC236}">
              <a16:creationId xmlns:a16="http://schemas.microsoft.com/office/drawing/2014/main" id="{00000000-0008-0000-0000-0000B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9" name="Picture 130"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B6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0" name="Picture 131"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B7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1" name="Picture 132"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B8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2" name="Picture 133"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B9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3" name="Picture 134" descr="http://www.conermex.com.mx/images/pdf-opt.png">
          <a:hlinkClick xmlns:r="http://schemas.openxmlformats.org/officeDocument/2006/relationships" r:id="rId5" tgtFrame="_blank"/>
          <a:extLst>
            <a:ext uri="{FF2B5EF4-FFF2-40B4-BE49-F238E27FC236}">
              <a16:creationId xmlns:a16="http://schemas.microsoft.com/office/drawing/2014/main" id="{00000000-0008-0000-0000-0000BA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4" name="Picture 135" descr="http://www.conermex.com.mx/images/pdf-opt.png">
          <a:hlinkClick xmlns:r="http://schemas.openxmlformats.org/officeDocument/2006/relationships" r:id="rId5" tgtFrame="_blank"/>
          <a:extLst>
            <a:ext uri="{FF2B5EF4-FFF2-40B4-BE49-F238E27FC236}">
              <a16:creationId xmlns:a16="http://schemas.microsoft.com/office/drawing/2014/main" id="{00000000-0008-0000-0000-0000BB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5" name="Picture 136"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BC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6" name="Picture 137"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BD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7" name="Picture 138"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BE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8" name="Picture 139"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BF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9" name="Picture 140"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C0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20" name="Picture 141"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C1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21" name="Picture 142"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C2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22" name="Picture 143" descr="http://www.conermex.com.mx/images/pdf-opt.png">
          <a:hlinkClick xmlns:r="http://schemas.openxmlformats.org/officeDocument/2006/relationships" r:id="rId8" tgtFrame="_blank"/>
          <a:extLst>
            <a:ext uri="{FF2B5EF4-FFF2-40B4-BE49-F238E27FC236}">
              <a16:creationId xmlns:a16="http://schemas.microsoft.com/office/drawing/2014/main" id="{00000000-0008-0000-0000-0000C3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23" name="Picture 144" descr="http://www.conermex.com.mx/images/pdf-opt.png">
          <a:hlinkClick xmlns:r="http://schemas.openxmlformats.org/officeDocument/2006/relationships" r:id="rId9" tgtFrame="_blank"/>
          <a:extLst>
            <a:ext uri="{FF2B5EF4-FFF2-40B4-BE49-F238E27FC236}">
              <a16:creationId xmlns:a16="http://schemas.microsoft.com/office/drawing/2014/main" id="{00000000-0008-0000-0000-0000C4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24" name="Picture 145" descr="http://www.conermex.com.mx/images/pdf-opt-gris.png">
          <a:extLst>
            <a:ext uri="{FF2B5EF4-FFF2-40B4-BE49-F238E27FC236}">
              <a16:creationId xmlns:a16="http://schemas.microsoft.com/office/drawing/2014/main" id="{00000000-0008-0000-0000-0000C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25" name="Picture 146" descr="http://www.conermex.com.mx/images/pdf-opt-gris.png">
          <a:extLst>
            <a:ext uri="{FF2B5EF4-FFF2-40B4-BE49-F238E27FC236}">
              <a16:creationId xmlns:a16="http://schemas.microsoft.com/office/drawing/2014/main" id="{00000000-0008-0000-0000-0000C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26" name="Picture 147" descr="http://www.conermex.com.mx/images/pdf-opt-gris.png">
          <a:extLst>
            <a:ext uri="{FF2B5EF4-FFF2-40B4-BE49-F238E27FC236}">
              <a16:creationId xmlns:a16="http://schemas.microsoft.com/office/drawing/2014/main" id="{00000000-0008-0000-0000-0000C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27" name="Picture 148" descr="http://www.conermex.com.mx/images/pdf-opt-gris.png">
          <a:extLst>
            <a:ext uri="{FF2B5EF4-FFF2-40B4-BE49-F238E27FC236}">
              <a16:creationId xmlns:a16="http://schemas.microsoft.com/office/drawing/2014/main" id="{00000000-0008-0000-0000-0000C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28" name="Picture 149" descr="http://www.conermex.com.mx/images/pdf-opt-gris.png">
          <a:extLst>
            <a:ext uri="{FF2B5EF4-FFF2-40B4-BE49-F238E27FC236}">
              <a16:creationId xmlns:a16="http://schemas.microsoft.com/office/drawing/2014/main" id="{00000000-0008-0000-0000-0000C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29" name="Picture 150" descr="http://www.conermex.com.mx/images/pdf-opt-gris.png">
          <a:extLst>
            <a:ext uri="{FF2B5EF4-FFF2-40B4-BE49-F238E27FC236}">
              <a16:creationId xmlns:a16="http://schemas.microsoft.com/office/drawing/2014/main" id="{00000000-0008-0000-0000-0000C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30" name="Picture 151" descr="http://www.conermex.com.mx/images/pdf-opt-gris.png">
          <a:extLst>
            <a:ext uri="{FF2B5EF4-FFF2-40B4-BE49-F238E27FC236}">
              <a16:creationId xmlns:a16="http://schemas.microsoft.com/office/drawing/2014/main" id="{00000000-0008-0000-0000-0000C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31" name="Picture 152" descr="http://www.conermex.com.mx/images/pdf-opt-gris.png">
          <a:extLst>
            <a:ext uri="{FF2B5EF4-FFF2-40B4-BE49-F238E27FC236}">
              <a16:creationId xmlns:a16="http://schemas.microsoft.com/office/drawing/2014/main" id="{00000000-0008-0000-0000-0000C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32" name="Picture 153" descr="http://www.conermex.com.mx/images/pdf-opt-gris.png">
          <a:extLst>
            <a:ext uri="{FF2B5EF4-FFF2-40B4-BE49-F238E27FC236}">
              <a16:creationId xmlns:a16="http://schemas.microsoft.com/office/drawing/2014/main" id="{00000000-0008-0000-0000-0000C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33" name="Picture 154" descr="http://www.conermex.com.mx/images/pdf-opt-gris.png">
          <a:extLst>
            <a:ext uri="{FF2B5EF4-FFF2-40B4-BE49-F238E27FC236}">
              <a16:creationId xmlns:a16="http://schemas.microsoft.com/office/drawing/2014/main" id="{00000000-0008-0000-0000-0000C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34" name="Picture 155" descr="http://www.conermex.com.mx/images/pdf-opt-gris.png">
          <a:extLst>
            <a:ext uri="{FF2B5EF4-FFF2-40B4-BE49-F238E27FC236}">
              <a16:creationId xmlns:a16="http://schemas.microsoft.com/office/drawing/2014/main" id="{00000000-0008-0000-0000-0000C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35" name="Picture 156" descr="http://www.conermex.com.mx/images/pdf-opt-gris.png">
          <a:extLst>
            <a:ext uri="{FF2B5EF4-FFF2-40B4-BE49-F238E27FC236}">
              <a16:creationId xmlns:a16="http://schemas.microsoft.com/office/drawing/2014/main" id="{00000000-0008-0000-0000-0000D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36" name="Picture 157" descr="http://www.conermex.com.mx/images/pdf-opt-gris.png">
          <a:extLst>
            <a:ext uri="{FF2B5EF4-FFF2-40B4-BE49-F238E27FC236}">
              <a16:creationId xmlns:a16="http://schemas.microsoft.com/office/drawing/2014/main" id="{00000000-0008-0000-0000-0000D1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37" name="Picture 158" descr="http://www.conermex.com.mx/images/pdf-opt-gris.png">
          <a:extLst>
            <a:ext uri="{FF2B5EF4-FFF2-40B4-BE49-F238E27FC236}">
              <a16:creationId xmlns:a16="http://schemas.microsoft.com/office/drawing/2014/main" id="{00000000-0008-0000-0000-0000D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38" name="Picture 159" descr="http://www.conermex.com.mx/images/pdf-opt-gris.png">
          <a:extLst>
            <a:ext uri="{FF2B5EF4-FFF2-40B4-BE49-F238E27FC236}">
              <a16:creationId xmlns:a16="http://schemas.microsoft.com/office/drawing/2014/main" id="{00000000-0008-0000-0000-0000D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39" name="Picture 160" descr="http://www.conermex.com.mx/images/pdf-opt-gris.png">
          <a:extLst>
            <a:ext uri="{FF2B5EF4-FFF2-40B4-BE49-F238E27FC236}">
              <a16:creationId xmlns:a16="http://schemas.microsoft.com/office/drawing/2014/main" id="{00000000-0008-0000-0000-0000D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40" name="Picture 161" descr="http://www.conermex.com.mx/images/pdf-opt-gris.png">
          <a:extLst>
            <a:ext uri="{FF2B5EF4-FFF2-40B4-BE49-F238E27FC236}">
              <a16:creationId xmlns:a16="http://schemas.microsoft.com/office/drawing/2014/main" id="{00000000-0008-0000-0000-0000D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41" name="Picture 162" descr="http://www.conermex.com.mx/images/pdf-opt-gris.png">
          <a:extLst>
            <a:ext uri="{FF2B5EF4-FFF2-40B4-BE49-F238E27FC236}">
              <a16:creationId xmlns:a16="http://schemas.microsoft.com/office/drawing/2014/main" id="{00000000-0008-0000-0000-0000D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42" name="Picture 163" descr="http://www.conermex.com.mx/images/pdf-opt-gris.png">
          <a:extLst>
            <a:ext uri="{FF2B5EF4-FFF2-40B4-BE49-F238E27FC236}">
              <a16:creationId xmlns:a16="http://schemas.microsoft.com/office/drawing/2014/main" id="{00000000-0008-0000-0000-0000D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43" name="Picture 164" descr="http://www.conermex.com.mx/images/pdf-opt-gris.png">
          <a:extLst>
            <a:ext uri="{FF2B5EF4-FFF2-40B4-BE49-F238E27FC236}">
              <a16:creationId xmlns:a16="http://schemas.microsoft.com/office/drawing/2014/main" id="{00000000-0008-0000-0000-0000D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44" name="Picture 165" descr="http://www.conermex.com.mx/images/pdf-opt-gris.png">
          <a:extLst>
            <a:ext uri="{FF2B5EF4-FFF2-40B4-BE49-F238E27FC236}">
              <a16:creationId xmlns:a16="http://schemas.microsoft.com/office/drawing/2014/main" id="{00000000-0008-0000-0000-0000D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45" name="Picture 166" descr="http://www.conermex.com.mx/images/pdf-opt-gris.png">
          <a:extLst>
            <a:ext uri="{FF2B5EF4-FFF2-40B4-BE49-F238E27FC236}">
              <a16:creationId xmlns:a16="http://schemas.microsoft.com/office/drawing/2014/main" id="{00000000-0008-0000-0000-0000D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46" name="Picture 167" descr="http://www.conermex.com.mx/images/pdf-opt-gris.png">
          <a:extLst>
            <a:ext uri="{FF2B5EF4-FFF2-40B4-BE49-F238E27FC236}">
              <a16:creationId xmlns:a16="http://schemas.microsoft.com/office/drawing/2014/main" id="{00000000-0008-0000-0000-0000D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47" name="Picture 168" descr="http://www.conermex.com.mx/images/pdf-opt-gris.png">
          <a:extLst>
            <a:ext uri="{FF2B5EF4-FFF2-40B4-BE49-F238E27FC236}">
              <a16:creationId xmlns:a16="http://schemas.microsoft.com/office/drawing/2014/main" id="{00000000-0008-0000-0000-0000D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48" name="Picture 169" descr="http://www.conermex.com.mx/images/pdf-opt-gris.png">
          <a:extLst>
            <a:ext uri="{FF2B5EF4-FFF2-40B4-BE49-F238E27FC236}">
              <a16:creationId xmlns:a16="http://schemas.microsoft.com/office/drawing/2014/main" id="{00000000-0008-0000-0000-0000D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49" name="Picture 170" descr="http://www.conermex.com.mx/images/pdf-opt-gris.png">
          <a:extLst>
            <a:ext uri="{FF2B5EF4-FFF2-40B4-BE49-F238E27FC236}">
              <a16:creationId xmlns:a16="http://schemas.microsoft.com/office/drawing/2014/main" id="{00000000-0008-0000-0000-0000D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50" name="Picture 171" descr="http://www.conermex.com.mx/images/pdf-opt-gris.png">
          <a:extLst>
            <a:ext uri="{FF2B5EF4-FFF2-40B4-BE49-F238E27FC236}">
              <a16:creationId xmlns:a16="http://schemas.microsoft.com/office/drawing/2014/main" id="{00000000-0008-0000-0000-0000D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51" name="Picture 172" descr="http://www.conermex.com.mx/images/pdf-opt-gris.png">
          <a:extLst>
            <a:ext uri="{FF2B5EF4-FFF2-40B4-BE49-F238E27FC236}">
              <a16:creationId xmlns:a16="http://schemas.microsoft.com/office/drawing/2014/main" id="{00000000-0008-0000-0000-0000E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52" name="Picture 173" descr="http://www.conermex.com.mx/images/pdf-opt-gris.png">
          <a:extLst>
            <a:ext uri="{FF2B5EF4-FFF2-40B4-BE49-F238E27FC236}">
              <a16:creationId xmlns:a16="http://schemas.microsoft.com/office/drawing/2014/main" id="{00000000-0008-0000-0000-0000E1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53" name="Picture 174" descr="http://www.conermex.com.mx/images/pdf-opt-gris.png">
          <a:extLst>
            <a:ext uri="{FF2B5EF4-FFF2-40B4-BE49-F238E27FC236}">
              <a16:creationId xmlns:a16="http://schemas.microsoft.com/office/drawing/2014/main" id="{00000000-0008-0000-0000-0000E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54" name="Picture 175" descr="http://www.conermex.com.mx/images/pdf-opt-gris.png">
          <a:extLst>
            <a:ext uri="{FF2B5EF4-FFF2-40B4-BE49-F238E27FC236}">
              <a16:creationId xmlns:a16="http://schemas.microsoft.com/office/drawing/2014/main" id="{00000000-0008-0000-0000-0000E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55" name="Picture 176" descr="http://www.conermex.com.mx/images/pdf-opt-gris.png">
          <a:extLst>
            <a:ext uri="{FF2B5EF4-FFF2-40B4-BE49-F238E27FC236}">
              <a16:creationId xmlns:a16="http://schemas.microsoft.com/office/drawing/2014/main" id="{00000000-0008-0000-0000-0000E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56" name="Picture 177" descr="http://www.conermex.com.mx/images/pdf-opt-gris.png">
          <a:extLst>
            <a:ext uri="{FF2B5EF4-FFF2-40B4-BE49-F238E27FC236}">
              <a16:creationId xmlns:a16="http://schemas.microsoft.com/office/drawing/2014/main" id="{00000000-0008-0000-0000-0000E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57" name="Picture 178" descr="http://www.conermex.com.mx/images/pdf-opt-gris.png">
          <a:extLst>
            <a:ext uri="{FF2B5EF4-FFF2-40B4-BE49-F238E27FC236}">
              <a16:creationId xmlns:a16="http://schemas.microsoft.com/office/drawing/2014/main" id="{00000000-0008-0000-0000-0000E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58" name="Picture 179" descr="http://www.conermex.com.mx/images/pdf-opt-gris.png">
          <a:extLst>
            <a:ext uri="{FF2B5EF4-FFF2-40B4-BE49-F238E27FC236}">
              <a16:creationId xmlns:a16="http://schemas.microsoft.com/office/drawing/2014/main" id="{00000000-0008-0000-0000-0000E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59" name="Picture 180" descr="http://www.conermex.com.mx/images/pdf-opt-gris.png">
          <a:extLst>
            <a:ext uri="{FF2B5EF4-FFF2-40B4-BE49-F238E27FC236}">
              <a16:creationId xmlns:a16="http://schemas.microsoft.com/office/drawing/2014/main" id="{00000000-0008-0000-0000-0000E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60" name="Picture 181" descr="http://www.conermex.com.mx/images/pdf-opt-gris.png">
          <a:extLst>
            <a:ext uri="{FF2B5EF4-FFF2-40B4-BE49-F238E27FC236}">
              <a16:creationId xmlns:a16="http://schemas.microsoft.com/office/drawing/2014/main" id="{00000000-0008-0000-0000-0000E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61" name="Picture 182" descr="http://www.conermex.com.mx/images/pdf-opt-gris.png">
          <a:extLst>
            <a:ext uri="{FF2B5EF4-FFF2-40B4-BE49-F238E27FC236}">
              <a16:creationId xmlns:a16="http://schemas.microsoft.com/office/drawing/2014/main" id="{00000000-0008-0000-0000-0000E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62" name="Picture 183" descr="http://www.conermex.com.mx/images/pdf-opt-gris.png">
          <a:extLst>
            <a:ext uri="{FF2B5EF4-FFF2-40B4-BE49-F238E27FC236}">
              <a16:creationId xmlns:a16="http://schemas.microsoft.com/office/drawing/2014/main" id="{00000000-0008-0000-0000-0000E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63" name="Picture 184" descr="http://www.conermex.com.mx/images/pdf-opt-gris.png">
          <a:extLst>
            <a:ext uri="{FF2B5EF4-FFF2-40B4-BE49-F238E27FC236}">
              <a16:creationId xmlns:a16="http://schemas.microsoft.com/office/drawing/2014/main" id="{00000000-0008-0000-0000-0000E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64" name="Picture 185" descr="http://www.conermex.com.mx/images/pdf-opt-gris.png">
          <a:extLst>
            <a:ext uri="{FF2B5EF4-FFF2-40B4-BE49-F238E27FC236}">
              <a16:creationId xmlns:a16="http://schemas.microsoft.com/office/drawing/2014/main" id="{00000000-0008-0000-0000-0000E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65" name="Picture 186" descr="http://www.conermex.com.mx/images/pdf-opt-gris.png">
          <a:extLst>
            <a:ext uri="{FF2B5EF4-FFF2-40B4-BE49-F238E27FC236}">
              <a16:creationId xmlns:a16="http://schemas.microsoft.com/office/drawing/2014/main" id="{00000000-0008-0000-0000-0000E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66" name="Picture 187" descr="http://www.conermex.com.mx/images/pdf-opt-gris.png">
          <a:extLst>
            <a:ext uri="{FF2B5EF4-FFF2-40B4-BE49-F238E27FC236}">
              <a16:creationId xmlns:a16="http://schemas.microsoft.com/office/drawing/2014/main" id="{00000000-0008-0000-0000-0000E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67" name="Picture 188" descr="http://www.conermex.com.mx/images/pdf-opt-gris.png">
          <a:extLst>
            <a:ext uri="{FF2B5EF4-FFF2-40B4-BE49-F238E27FC236}">
              <a16:creationId xmlns:a16="http://schemas.microsoft.com/office/drawing/2014/main" id="{00000000-0008-0000-0000-0000F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68" name="Picture 189" descr="http://www.conermex.com.mx/images/pdf-opt-gris.png">
          <a:extLst>
            <a:ext uri="{FF2B5EF4-FFF2-40B4-BE49-F238E27FC236}">
              <a16:creationId xmlns:a16="http://schemas.microsoft.com/office/drawing/2014/main" id="{00000000-0008-0000-0000-0000F1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69" name="Picture 190" descr="http://www.conermex.com.mx/images/pdf-opt-gris.png">
          <a:extLst>
            <a:ext uri="{FF2B5EF4-FFF2-40B4-BE49-F238E27FC236}">
              <a16:creationId xmlns:a16="http://schemas.microsoft.com/office/drawing/2014/main" id="{00000000-0008-0000-0000-0000F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70" name="Picture 191" descr="http://www.conermex.com.mx/images/pdf-opt-gris.png">
          <a:extLst>
            <a:ext uri="{FF2B5EF4-FFF2-40B4-BE49-F238E27FC236}">
              <a16:creationId xmlns:a16="http://schemas.microsoft.com/office/drawing/2014/main" id="{00000000-0008-0000-0000-0000F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71" name="Picture 192" descr="http://www.conermex.com.mx/images/pdf-opt-gris.png">
          <a:extLst>
            <a:ext uri="{FF2B5EF4-FFF2-40B4-BE49-F238E27FC236}">
              <a16:creationId xmlns:a16="http://schemas.microsoft.com/office/drawing/2014/main" id="{00000000-0008-0000-0000-0000F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72" name="Picture 193" descr="http://www.conermex.com.mx/images/pdf-opt-gris.png">
          <a:extLst>
            <a:ext uri="{FF2B5EF4-FFF2-40B4-BE49-F238E27FC236}">
              <a16:creationId xmlns:a16="http://schemas.microsoft.com/office/drawing/2014/main" id="{00000000-0008-0000-0000-0000F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73" name="Picture 194" descr="http://www.conermex.com.mx/images/pdf-opt-gris.png">
          <a:extLst>
            <a:ext uri="{FF2B5EF4-FFF2-40B4-BE49-F238E27FC236}">
              <a16:creationId xmlns:a16="http://schemas.microsoft.com/office/drawing/2014/main" id="{00000000-0008-0000-0000-0000F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74" name="Picture 195" descr="http://www.conermex.com.mx/images/pdf-opt-gris.png">
          <a:extLst>
            <a:ext uri="{FF2B5EF4-FFF2-40B4-BE49-F238E27FC236}">
              <a16:creationId xmlns:a16="http://schemas.microsoft.com/office/drawing/2014/main" id="{00000000-0008-0000-0000-0000F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75" name="Picture 196" descr="http://www.conermex.com.mx/images/pdf-opt-gris.png">
          <a:extLst>
            <a:ext uri="{FF2B5EF4-FFF2-40B4-BE49-F238E27FC236}">
              <a16:creationId xmlns:a16="http://schemas.microsoft.com/office/drawing/2014/main" id="{00000000-0008-0000-0000-0000F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76" name="Picture 197" descr="http://www.conermex.com.mx/images/pdf-opt-gris.png">
          <a:extLst>
            <a:ext uri="{FF2B5EF4-FFF2-40B4-BE49-F238E27FC236}">
              <a16:creationId xmlns:a16="http://schemas.microsoft.com/office/drawing/2014/main" id="{00000000-0008-0000-0000-0000F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77" name="Picture 198" descr="http://www.conermex.com.mx/images/pdf-opt-gris.png">
          <a:extLst>
            <a:ext uri="{FF2B5EF4-FFF2-40B4-BE49-F238E27FC236}">
              <a16:creationId xmlns:a16="http://schemas.microsoft.com/office/drawing/2014/main" id="{00000000-0008-0000-0000-0000F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78" name="Picture 199" descr="http://www.conermex.com.mx/images/pdf-opt-gris.png">
          <a:extLst>
            <a:ext uri="{FF2B5EF4-FFF2-40B4-BE49-F238E27FC236}">
              <a16:creationId xmlns:a16="http://schemas.microsoft.com/office/drawing/2014/main" id="{00000000-0008-0000-0000-0000F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79" name="Picture 200" descr="http://www.conermex.com.mx/images/pdf-opt-gris.png">
          <a:extLst>
            <a:ext uri="{FF2B5EF4-FFF2-40B4-BE49-F238E27FC236}">
              <a16:creationId xmlns:a16="http://schemas.microsoft.com/office/drawing/2014/main" id="{00000000-0008-0000-0000-0000F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80" name="Picture 201" descr="http://www.conermex.com.mx/images/pdf-opt-gris.png">
          <a:extLst>
            <a:ext uri="{FF2B5EF4-FFF2-40B4-BE49-F238E27FC236}">
              <a16:creationId xmlns:a16="http://schemas.microsoft.com/office/drawing/2014/main" id="{00000000-0008-0000-0000-0000F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81" name="Picture 202" descr="http://www.conermex.com.mx/images/pdf-opt-gris.png">
          <a:extLst>
            <a:ext uri="{FF2B5EF4-FFF2-40B4-BE49-F238E27FC236}">
              <a16:creationId xmlns:a16="http://schemas.microsoft.com/office/drawing/2014/main" id="{00000000-0008-0000-0000-0000F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82" name="Picture 203" descr="http://www.conermex.com.mx/images/pdf-opt-gris.png">
          <a:extLst>
            <a:ext uri="{FF2B5EF4-FFF2-40B4-BE49-F238E27FC236}">
              <a16:creationId xmlns:a16="http://schemas.microsoft.com/office/drawing/2014/main" id="{00000000-0008-0000-0000-0000F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83" name="Picture 204" descr="http://www.conermex.com.mx/images/pdf-opt-gris.png">
          <a:extLst>
            <a:ext uri="{FF2B5EF4-FFF2-40B4-BE49-F238E27FC236}">
              <a16:creationId xmlns:a16="http://schemas.microsoft.com/office/drawing/2014/main" id="{00000000-0008-0000-0000-00000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84" name="Picture 205" descr="http://www.conermex.com.mx/images/pdf-opt-gris.png">
          <a:extLst>
            <a:ext uri="{FF2B5EF4-FFF2-40B4-BE49-F238E27FC236}">
              <a16:creationId xmlns:a16="http://schemas.microsoft.com/office/drawing/2014/main" id="{00000000-0008-0000-0000-00000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85" name="Picture 206" descr="http://www.conermex.com.mx/images/pdf-opt-gris.png">
          <a:extLst>
            <a:ext uri="{FF2B5EF4-FFF2-40B4-BE49-F238E27FC236}">
              <a16:creationId xmlns:a16="http://schemas.microsoft.com/office/drawing/2014/main" id="{00000000-0008-0000-0000-00000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86" name="Picture 207" descr="http://www.conermex.com.mx/images/pdf-opt-gris.png">
          <a:extLst>
            <a:ext uri="{FF2B5EF4-FFF2-40B4-BE49-F238E27FC236}">
              <a16:creationId xmlns:a16="http://schemas.microsoft.com/office/drawing/2014/main" id="{00000000-0008-0000-0000-00000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87" name="Picture 208" descr="http://www.conermex.com.mx/images/pdf-opt-gris.png">
          <a:extLst>
            <a:ext uri="{FF2B5EF4-FFF2-40B4-BE49-F238E27FC236}">
              <a16:creationId xmlns:a16="http://schemas.microsoft.com/office/drawing/2014/main" id="{00000000-0008-0000-0000-00000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88" name="Picture 209" descr="http://www.conermex.com.mx/images/pdf-opt-gris.png">
          <a:extLst>
            <a:ext uri="{FF2B5EF4-FFF2-40B4-BE49-F238E27FC236}">
              <a16:creationId xmlns:a16="http://schemas.microsoft.com/office/drawing/2014/main" id="{00000000-0008-0000-0000-00000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89" name="Picture 210" descr="http://www.conermex.com.mx/images/pdf-opt-gris.png">
          <a:extLst>
            <a:ext uri="{FF2B5EF4-FFF2-40B4-BE49-F238E27FC236}">
              <a16:creationId xmlns:a16="http://schemas.microsoft.com/office/drawing/2014/main" id="{00000000-0008-0000-0000-00000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90" name="Picture 211" descr="http://www.conermex.com.mx/images/pdf-opt-gris.png">
          <a:extLst>
            <a:ext uri="{FF2B5EF4-FFF2-40B4-BE49-F238E27FC236}">
              <a16:creationId xmlns:a16="http://schemas.microsoft.com/office/drawing/2014/main" id="{00000000-0008-0000-0000-00000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91" name="Picture 212" descr="http://www.conermex.com.mx/images/pdf-opt-gris.png">
          <a:extLst>
            <a:ext uri="{FF2B5EF4-FFF2-40B4-BE49-F238E27FC236}">
              <a16:creationId xmlns:a16="http://schemas.microsoft.com/office/drawing/2014/main" id="{00000000-0008-0000-0000-00000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92" name="Picture 213" descr="http://www.conermex.com.mx/images/pdf-opt-gris.png">
          <a:extLst>
            <a:ext uri="{FF2B5EF4-FFF2-40B4-BE49-F238E27FC236}">
              <a16:creationId xmlns:a16="http://schemas.microsoft.com/office/drawing/2014/main" id="{00000000-0008-0000-0000-00000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93" name="Picture 214" descr="http://www.conermex.com.mx/images/pdf-opt-gris.png">
          <a:extLst>
            <a:ext uri="{FF2B5EF4-FFF2-40B4-BE49-F238E27FC236}">
              <a16:creationId xmlns:a16="http://schemas.microsoft.com/office/drawing/2014/main" id="{00000000-0008-0000-0000-00000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94" name="Picture 215" descr="http://www.conermex.com.mx/images/pdf-opt-gris.png">
          <a:extLst>
            <a:ext uri="{FF2B5EF4-FFF2-40B4-BE49-F238E27FC236}">
              <a16:creationId xmlns:a16="http://schemas.microsoft.com/office/drawing/2014/main" id="{00000000-0008-0000-0000-00000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95" name="Picture 216" descr="http://www.conermex.com.mx/images/pdf-opt-gris.png">
          <a:extLst>
            <a:ext uri="{FF2B5EF4-FFF2-40B4-BE49-F238E27FC236}">
              <a16:creationId xmlns:a16="http://schemas.microsoft.com/office/drawing/2014/main" id="{00000000-0008-0000-0000-00000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96" name="Picture 217" descr="http://www.conermex.com.mx/images/pdf-opt-gris.png">
          <a:extLst>
            <a:ext uri="{FF2B5EF4-FFF2-40B4-BE49-F238E27FC236}">
              <a16:creationId xmlns:a16="http://schemas.microsoft.com/office/drawing/2014/main" id="{00000000-0008-0000-0000-00000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97" name="Picture 218" descr="http://www.conermex.com.mx/images/pdf-opt-gris.png">
          <a:extLst>
            <a:ext uri="{FF2B5EF4-FFF2-40B4-BE49-F238E27FC236}">
              <a16:creationId xmlns:a16="http://schemas.microsoft.com/office/drawing/2014/main" id="{00000000-0008-0000-0000-00000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98" name="Picture 219" descr="http://www.conermex.com.mx/images/pdf-opt-gris.png">
          <a:extLst>
            <a:ext uri="{FF2B5EF4-FFF2-40B4-BE49-F238E27FC236}">
              <a16:creationId xmlns:a16="http://schemas.microsoft.com/office/drawing/2014/main" id="{00000000-0008-0000-0000-00000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99" name="Picture 220" descr="http://www.conermex.com.mx/images/pdf-opt-gris.png">
          <a:extLst>
            <a:ext uri="{FF2B5EF4-FFF2-40B4-BE49-F238E27FC236}">
              <a16:creationId xmlns:a16="http://schemas.microsoft.com/office/drawing/2014/main" id="{00000000-0008-0000-0000-00001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00" name="Picture 221" descr="http://www.conermex.com.mx/images/pdf-opt-gris.png">
          <a:extLst>
            <a:ext uri="{FF2B5EF4-FFF2-40B4-BE49-F238E27FC236}">
              <a16:creationId xmlns:a16="http://schemas.microsoft.com/office/drawing/2014/main" id="{00000000-0008-0000-0000-00001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01" name="Picture 222" descr="http://www.conermex.com.mx/images/pdf-opt-gris.png">
          <a:extLst>
            <a:ext uri="{FF2B5EF4-FFF2-40B4-BE49-F238E27FC236}">
              <a16:creationId xmlns:a16="http://schemas.microsoft.com/office/drawing/2014/main" id="{00000000-0008-0000-0000-00001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02" name="Picture 223" descr="http://www.conermex.com.mx/images/pdf-opt-gris.png">
          <a:extLst>
            <a:ext uri="{FF2B5EF4-FFF2-40B4-BE49-F238E27FC236}">
              <a16:creationId xmlns:a16="http://schemas.microsoft.com/office/drawing/2014/main" id="{00000000-0008-0000-0000-00001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03" name="Picture 224" descr="http://www.conermex.com.mx/images/pdf-opt-gris.png">
          <a:extLst>
            <a:ext uri="{FF2B5EF4-FFF2-40B4-BE49-F238E27FC236}">
              <a16:creationId xmlns:a16="http://schemas.microsoft.com/office/drawing/2014/main" id="{00000000-0008-0000-0000-00001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04" name="Picture 225" descr="http://www.conermex.com.mx/images/pdf-opt-gris.png">
          <a:extLst>
            <a:ext uri="{FF2B5EF4-FFF2-40B4-BE49-F238E27FC236}">
              <a16:creationId xmlns:a16="http://schemas.microsoft.com/office/drawing/2014/main" id="{00000000-0008-0000-0000-00001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05" name="Picture 226" descr="http://www.conermex.com.mx/images/pdf-opt-gris.png">
          <a:extLst>
            <a:ext uri="{FF2B5EF4-FFF2-40B4-BE49-F238E27FC236}">
              <a16:creationId xmlns:a16="http://schemas.microsoft.com/office/drawing/2014/main" id="{00000000-0008-0000-0000-00001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06" name="Picture 227" descr="http://www.conermex.com.mx/images/pdf-opt-gris.png">
          <a:extLst>
            <a:ext uri="{FF2B5EF4-FFF2-40B4-BE49-F238E27FC236}">
              <a16:creationId xmlns:a16="http://schemas.microsoft.com/office/drawing/2014/main" id="{00000000-0008-0000-0000-00001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07" name="Picture 228" descr="http://www.conermex.com.mx/images/pdf-opt-gris.png">
          <a:extLst>
            <a:ext uri="{FF2B5EF4-FFF2-40B4-BE49-F238E27FC236}">
              <a16:creationId xmlns:a16="http://schemas.microsoft.com/office/drawing/2014/main" id="{00000000-0008-0000-0000-00001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08" name="Picture 229" descr="http://www.conermex.com.mx/images/pdf-opt-gris.png">
          <a:extLst>
            <a:ext uri="{FF2B5EF4-FFF2-40B4-BE49-F238E27FC236}">
              <a16:creationId xmlns:a16="http://schemas.microsoft.com/office/drawing/2014/main" id="{00000000-0008-0000-0000-00001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09" name="Picture 230" descr="http://www.conermex.com.mx/images/pdf-opt-gris.png">
          <a:extLst>
            <a:ext uri="{FF2B5EF4-FFF2-40B4-BE49-F238E27FC236}">
              <a16:creationId xmlns:a16="http://schemas.microsoft.com/office/drawing/2014/main" id="{00000000-0008-0000-0000-00001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10" name="Picture 231" descr="http://www.conermex.com.mx/images/pdf-opt-gris.png">
          <a:extLst>
            <a:ext uri="{FF2B5EF4-FFF2-40B4-BE49-F238E27FC236}">
              <a16:creationId xmlns:a16="http://schemas.microsoft.com/office/drawing/2014/main" id="{00000000-0008-0000-0000-00001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11" name="Picture 232" descr="http://www.conermex.com.mx/images/pdf-opt-gris.png">
          <a:extLst>
            <a:ext uri="{FF2B5EF4-FFF2-40B4-BE49-F238E27FC236}">
              <a16:creationId xmlns:a16="http://schemas.microsoft.com/office/drawing/2014/main" id="{00000000-0008-0000-0000-00001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12" name="Picture 233" descr="http://www.conermex.com.mx/images/pdf-opt-gris.png">
          <a:extLst>
            <a:ext uri="{FF2B5EF4-FFF2-40B4-BE49-F238E27FC236}">
              <a16:creationId xmlns:a16="http://schemas.microsoft.com/office/drawing/2014/main" id="{00000000-0008-0000-0000-00001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13" name="Picture 234" descr="http://www.conermex.com.mx/images/pdf-opt-gris.png">
          <a:extLst>
            <a:ext uri="{FF2B5EF4-FFF2-40B4-BE49-F238E27FC236}">
              <a16:creationId xmlns:a16="http://schemas.microsoft.com/office/drawing/2014/main" id="{00000000-0008-0000-0000-00001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14" name="Picture 235" descr="http://www.conermex.com.mx/images/pdf-opt-gris.png">
          <a:extLst>
            <a:ext uri="{FF2B5EF4-FFF2-40B4-BE49-F238E27FC236}">
              <a16:creationId xmlns:a16="http://schemas.microsoft.com/office/drawing/2014/main" id="{00000000-0008-0000-0000-00001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15" name="Picture 236" descr="http://www.conermex.com.mx/images/pdf-opt.png">
          <a:hlinkClick xmlns:r="http://schemas.openxmlformats.org/officeDocument/2006/relationships" r:id="rId8" tgtFrame="_blank"/>
          <a:extLst>
            <a:ext uri="{FF2B5EF4-FFF2-40B4-BE49-F238E27FC236}">
              <a16:creationId xmlns:a16="http://schemas.microsoft.com/office/drawing/2014/main" id="{00000000-0008-0000-0000-000020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16" name="Picture 237" descr="http://www.conermex.com.mx/images/pdf-opt.png">
          <a:hlinkClick xmlns:r="http://schemas.openxmlformats.org/officeDocument/2006/relationships" r:id="rId9" tgtFrame="_blank"/>
          <a:extLst>
            <a:ext uri="{FF2B5EF4-FFF2-40B4-BE49-F238E27FC236}">
              <a16:creationId xmlns:a16="http://schemas.microsoft.com/office/drawing/2014/main" id="{00000000-0008-0000-0000-000021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17" name="Picture 238" descr="http://www.conermex.com.mx/images/pdf-opt-gris.png">
          <a:extLst>
            <a:ext uri="{FF2B5EF4-FFF2-40B4-BE49-F238E27FC236}">
              <a16:creationId xmlns:a16="http://schemas.microsoft.com/office/drawing/2014/main" id="{00000000-0008-0000-0000-00002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18" name="Picture 239" descr="http://www.conermex.com.mx/images/pdf-opt-gris.png">
          <a:extLst>
            <a:ext uri="{FF2B5EF4-FFF2-40B4-BE49-F238E27FC236}">
              <a16:creationId xmlns:a16="http://schemas.microsoft.com/office/drawing/2014/main" id="{00000000-0008-0000-0000-00002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19" name="Picture 240" descr="http://www.conermex.com.mx/images/pdf-opt-gris.png">
          <a:extLst>
            <a:ext uri="{FF2B5EF4-FFF2-40B4-BE49-F238E27FC236}">
              <a16:creationId xmlns:a16="http://schemas.microsoft.com/office/drawing/2014/main" id="{00000000-0008-0000-0000-00002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20" name="Picture 241" descr="http://www.conermex.com.mx/images/pdf-opt.png">
          <a:hlinkClick xmlns:r="http://schemas.openxmlformats.org/officeDocument/2006/relationships" r:id="rId10" tgtFrame="_blank"/>
          <a:extLst>
            <a:ext uri="{FF2B5EF4-FFF2-40B4-BE49-F238E27FC236}">
              <a16:creationId xmlns:a16="http://schemas.microsoft.com/office/drawing/2014/main" id="{00000000-0008-0000-0000-000025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21" name="Picture 242" descr="http://www.conermex.com.mx/images/pdf-opt.png">
          <a:hlinkClick xmlns:r="http://schemas.openxmlformats.org/officeDocument/2006/relationships" r:id="rId10" tgtFrame="_blank"/>
          <a:extLst>
            <a:ext uri="{FF2B5EF4-FFF2-40B4-BE49-F238E27FC236}">
              <a16:creationId xmlns:a16="http://schemas.microsoft.com/office/drawing/2014/main" id="{00000000-0008-0000-0000-000026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22" name="Picture 243" descr="http://www.conermex.com.mx/images/pdf-opt.png">
          <a:hlinkClick xmlns:r="http://schemas.openxmlformats.org/officeDocument/2006/relationships" r:id="rId11" tgtFrame="_blank"/>
          <a:extLst>
            <a:ext uri="{FF2B5EF4-FFF2-40B4-BE49-F238E27FC236}">
              <a16:creationId xmlns:a16="http://schemas.microsoft.com/office/drawing/2014/main" id="{00000000-0008-0000-0000-000027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23" name="Picture 244" descr="http://www.conermex.com.mx/images/pdf-opt.png">
          <a:hlinkClick xmlns:r="http://schemas.openxmlformats.org/officeDocument/2006/relationships" r:id="rId11" tgtFrame="_blank"/>
          <a:extLst>
            <a:ext uri="{FF2B5EF4-FFF2-40B4-BE49-F238E27FC236}">
              <a16:creationId xmlns:a16="http://schemas.microsoft.com/office/drawing/2014/main" id="{00000000-0008-0000-0000-000028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24" name="Picture 245" descr="http://www.conermex.com.mx/images/pdf-opt.png">
          <a:hlinkClick xmlns:r="http://schemas.openxmlformats.org/officeDocument/2006/relationships" r:id="rId11" tgtFrame="_blank"/>
          <a:extLst>
            <a:ext uri="{FF2B5EF4-FFF2-40B4-BE49-F238E27FC236}">
              <a16:creationId xmlns:a16="http://schemas.microsoft.com/office/drawing/2014/main" id="{00000000-0008-0000-0000-000029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25" name="Picture 246" descr="http://www.conermex.com.mx/images/pdf-opt-gris.png">
          <a:hlinkClick xmlns:r="http://schemas.openxmlformats.org/officeDocument/2006/relationships" r:id="rId10" tgtFrame="_blank"/>
          <a:extLst>
            <a:ext uri="{FF2B5EF4-FFF2-40B4-BE49-F238E27FC236}">
              <a16:creationId xmlns:a16="http://schemas.microsoft.com/office/drawing/2014/main" id="{00000000-0008-0000-0000-00002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26" name="Picture 247" descr="http://www.conermex.com.mx/images/pdf-opt-gris.png">
          <a:hlinkClick xmlns:r="http://schemas.openxmlformats.org/officeDocument/2006/relationships" r:id="rId10" tgtFrame="_blank"/>
          <a:extLst>
            <a:ext uri="{FF2B5EF4-FFF2-40B4-BE49-F238E27FC236}">
              <a16:creationId xmlns:a16="http://schemas.microsoft.com/office/drawing/2014/main" id="{00000000-0008-0000-0000-00002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27" name="Picture 248" descr="http://www.conermex.com.mx/images/pdf-opt-gris.png">
          <a:extLst>
            <a:ext uri="{FF2B5EF4-FFF2-40B4-BE49-F238E27FC236}">
              <a16:creationId xmlns:a16="http://schemas.microsoft.com/office/drawing/2014/main" id="{00000000-0008-0000-0000-00002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28" name="Picture 249" descr="http://www.conermex.com.mx/images/pdf-opt-gris.png">
          <a:extLst>
            <a:ext uri="{FF2B5EF4-FFF2-40B4-BE49-F238E27FC236}">
              <a16:creationId xmlns:a16="http://schemas.microsoft.com/office/drawing/2014/main" id="{00000000-0008-0000-0000-00002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29" name="Picture 250" descr="http://www.conermex.com.mx/images/pdf-opt.png">
          <a:hlinkClick xmlns:r="http://schemas.openxmlformats.org/officeDocument/2006/relationships" r:id="rId12" tgtFrame="_blank"/>
          <a:extLst>
            <a:ext uri="{FF2B5EF4-FFF2-40B4-BE49-F238E27FC236}">
              <a16:creationId xmlns:a16="http://schemas.microsoft.com/office/drawing/2014/main" id="{00000000-0008-0000-0000-00002E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30" name="Picture 251" descr="http://www.conermex.com.mx/images/pdf-opt.png">
          <a:hlinkClick xmlns:r="http://schemas.openxmlformats.org/officeDocument/2006/relationships" r:id="rId13" tgtFrame="_blank"/>
          <a:extLst>
            <a:ext uri="{FF2B5EF4-FFF2-40B4-BE49-F238E27FC236}">
              <a16:creationId xmlns:a16="http://schemas.microsoft.com/office/drawing/2014/main" id="{00000000-0008-0000-0000-00002F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31" name="Picture 252" descr="http://www.conermex.com.mx/images/pdf-opt.png">
          <a:hlinkClick xmlns:r="http://schemas.openxmlformats.org/officeDocument/2006/relationships" r:id="rId13" tgtFrame="_blank"/>
          <a:extLst>
            <a:ext uri="{FF2B5EF4-FFF2-40B4-BE49-F238E27FC236}">
              <a16:creationId xmlns:a16="http://schemas.microsoft.com/office/drawing/2014/main" id="{00000000-0008-0000-0000-000030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32" name="Picture 114" descr="http://www.conermex.com.mx/images/pdf-opt.png">
          <a:hlinkClick xmlns:r="http://schemas.openxmlformats.org/officeDocument/2006/relationships" r:id="rId14" tgtFrame="_blank"/>
          <a:extLst>
            <a:ext uri="{FF2B5EF4-FFF2-40B4-BE49-F238E27FC236}">
              <a16:creationId xmlns:a16="http://schemas.microsoft.com/office/drawing/2014/main" id="{00000000-0008-0000-0000-000032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33" name="Picture 115" descr="http://www.conermex.com.mx/images/pdf-opt.png">
          <a:hlinkClick xmlns:r="http://schemas.openxmlformats.org/officeDocument/2006/relationships" r:id="rId15" tgtFrame="_blank"/>
          <a:extLst>
            <a:ext uri="{FF2B5EF4-FFF2-40B4-BE49-F238E27FC236}">
              <a16:creationId xmlns:a16="http://schemas.microsoft.com/office/drawing/2014/main" id="{00000000-0008-0000-0000-000033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34" name="Picture 116" descr="http://www.conermex.com.mx/images/pdf-opt.png">
          <a:hlinkClick xmlns:r="http://schemas.openxmlformats.org/officeDocument/2006/relationships" r:id="rId16" tgtFrame="_blank"/>
          <a:extLst>
            <a:ext uri="{FF2B5EF4-FFF2-40B4-BE49-F238E27FC236}">
              <a16:creationId xmlns:a16="http://schemas.microsoft.com/office/drawing/2014/main" id="{00000000-0008-0000-0000-000034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35" name="Picture 117" descr="http://www.conermex.com.mx/images/pdf-opt.png">
          <a:hlinkClick xmlns:r="http://schemas.openxmlformats.org/officeDocument/2006/relationships" r:id="rId17" tgtFrame="_blank"/>
          <a:extLst>
            <a:ext uri="{FF2B5EF4-FFF2-40B4-BE49-F238E27FC236}">
              <a16:creationId xmlns:a16="http://schemas.microsoft.com/office/drawing/2014/main" id="{00000000-0008-0000-0000-000035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36" name="Picture 118" descr="http://www.conermex.com.mx/images/pdf-opt.png">
          <a:hlinkClick xmlns:r="http://schemas.openxmlformats.org/officeDocument/2006/relationships" r:id="rId18" tgtFrame="_blank"/>
          <a:extLst>
            <a:ext uri="{FF2B5EF4-FFF2-40B4-BE49-F238E27FC236}">
              <a16:creationId xmlns:a16="http://schemas.microsoft.com/office/drawing/2014/main" id="{00000000-0008-0000-0000-000036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37" name="Picture 119" descr="http://www.conermex.com.mx/images/pdf-opt.png">
          <a:hlinkClick xmlns:r="http://schemas.openxmlformats.org/officeDocument/2006/relationships" r:id="rId19" tgtFrame="_blank"/>
          <a:extLst>
            <a:ext uri="{FF2B5EF4-FFF2-40B4-BE49-F238E27FC236}">
              <a16:creationId xmlns:a16="http://schemas.microsoft.com/office/drawing/2014/main" id="{00000000-0008-0000-0000-000037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38" name="Picture 120" descr="http://www.conermex.com.mx/images/pdf-opt-gris.png">
          <a:extLst>
            <a:ext uri="{FF2B5EF4-FFF2-40B4-BE49-F238E27FC236}">
              <a16:creationId xmlns:a16="http://schemas.microsoft.com/office/drawing/2014/main" id="{00000000-0008-0000-0000-00003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39" name="Picture 121" descr="http://www.conermex.com.mx/images/pdf-opt.png">
          <a:hlinkClick xmlns:r="http://schemas.openxmlformats.org/officeDocument/2006/relationships" r:id="rId20"/>
          <a:extLst>
            <a:ext uri="{FF2B5EF4-FFF2-40B4-BE49-F238E27FC236}">
              <a16:creationId xmlns:a16="http://schemas.microsoft.com/office/drawing/2014/main" id="{00000000-0008-0000-0000-000039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40" name="Picture 122" descr="http://www.conermex.com.mx/images/pdf-opt-gris.png">
          <a:extLst>
            <a:ext uri="{FF2B5EF4-FFF2-40B4-BE49-F238E27FC236}">
              <a16:creationId xmlns:a16="http://schemas.microsoft.com/office/drawing/2014/main" id="{00000000-0008-0000-0000-00003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41" name="Picture 123" descr="http://www.conermex.com.mx/images/pdf-opt-gris.png">
          <a:extLst>
            <a:ext uri="{FF2B5EF4-FFF2-40B4-BE49-F238E27FC236}">
              <a16:creationId xmlns:a16="http://schemas.microsoft.com/office/drawing/2014/main" id="{00000000-0008-0000-0000-00003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42" name="Picture 124" descr="http://www.conermex.com.mx/images/pdf-opt-gris.png">
          <a:extLst>
            <a:ext uri="{FF2B5EF4-FFF2-40B4-BE49-F238E27FC236}">
              <a16:creationId xmlns:a16="http://schemas.microsoft.com/office/drawing/2014/main" id="{00000000-0008-0000-0000-00003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43" name="Picture 125"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3D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44" name="Picture 126"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3E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45" name="Picture 127"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3F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46" name="Picture 128"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40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47" name="Picture 129" descr="http://www.conermex.com.mx/images/pdf-opt-gris.png">
          <a:extLst>
            <a:ext uri="{FF2B5EF4-FFF2-40B4-BE49-F238E27FC236}">
              <a16:creationId xmlns:a16="http://schemas.microsoft.com/office/drawing/2014/main" id="{00000000-0008-0000-0000-00004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48" name="Picture 130"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42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49" name="Picture 131"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43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50" name="Picture 132"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44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51" name="Picture 133"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45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52" name="Picture 134" descr="http://www.conermex.com.mx/images/pdf-opt.png">
          <a:hlinkClick xmlns:r="http://schemas.openxmlformats.org/officeDocument/2006/relationships" r:id="rId5" tgtFrame="_blank"/>
          <a:extLst>
            <a:ext uri="{FF2B5EF4-FFF2-40B4-BE49-F238E27FC236}">
              <a16:creationId xmlns:a16="http://schemas.microsoft.com/office/drawing/2014/main" id="{00000000-0008-0000-0000-000046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53" name="Picture 135" descr="http://www.conermex.com.mx/images/pdf-opt.png">
          <a:hlinkClick xmlns:r="http://schemas.openxmlformats.org/officeDocument/2006/relationships" r:id="rId5" tgtFrame="_blank"/>
          <a:extLst>
            <a:ext uri="{FF2B5EF4-FFF2-40B4-BE49-F238E27FC236}">
              <a16:creationId xmlns:a16="http://schemas.microsoft.com/office/drawing/2014/main" id="{00000000-0008-0000-0000-000047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54" name="Picture 136"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48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55" name="Picture 137"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49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56" name="Picture 138"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4A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57" name="Picture 139"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4B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58" name="Picture 140"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4C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59" name="Picture 141"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4D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60" name="Picture 142"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4E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61" name="Picture 143" descr="http://www.conermex.com.mx/images/pdf-opt.png">
          <a:hlinkClick xmlns:r="http://schemas.openxmlformats.org/officeDocument/2006/relationships" r:id="rId8" tgtFrame="_blank"/>
          <a:extLst>
            <a:ext uri="{FF2B5EF4-FFF2-40B4-BE49-F238E27FC236}">
              <a16:creationId xmlns:a16="http://schemas.microsoft.com/office/drawing/2014/main" id="{00000000-0008-0000-0000-00004F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62" name="Picture 144" descr="http://www.conermex.com.mx/images/pdf-opt.png">
          <a:hlinkClick xmlns:r="http://schemas.openxmlformats.org/officeDocument/2006/relationships" r:id="rId9" tgtFrame="_blank"/>
          <a:extLst>
            <a:ext uri="{FF2B5EF4-FFF2-40B4-BE49-F238E27FC236}">
              <a16:creationId xmlns:a16="http://schemas.microsoft.com/office/drawing/2014/main" id="{00000000-0008-0000-0000-000050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63" name="Picture 145" descr="http://www.conermex.com.mx/images/pdf-opt-gris.png">
          <a:extLst>
            <a:ext uri="{FF2B5EF4-FFF2-40B4-BE49-F238E27FC236}">
              <a16:creationId xmlns:a16="http://schemas.microsoft.com/office/drawing/2014/main" id="{00000000-0008-0000-0000-00005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64" name="Picture 146" descr="http://www.conermex.com.mx/images/pdf-opt-gris.png">
          <a:extLst>
            <a:ext uri="{FF2B5EF4-FFF2-40B4-BE49-F238E27FC236}">
              <a16:creationId xmlns:a16="http://schemas.microsoft.com/office/drawing/2014/main" id="{00000000-0008-0000-0000-00005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65" name="Picture 147" descr="http://www.conermex.com.mx/images/pdf-opt-gris.png">
          <a:extLst>
            <a:ext uri="{FF2B5EF4-FFF2-40B4-BE49-F238E27FC236}">
              <a16:creationId xmlns:a16="http://schemas.microsoft.com/office/drawing/2014/main" id="{00000000-0008-0000-0000-00005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66" name="Picture 148" descr="http://www.conermex.com.mx/images/pdf-opt-gris.png">
          <a:extLst>
            <a:ext uri="{FF2B5EF4-FFF2-40B4-BE49-F238E27FC236}">
              <a16:creationId xmlns:a16="http://schemas.microsoft.com/office/drawing/2014/main" id="{00000000-0008-0000-0000-00005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67" name="Picture 149" descr="http://www.conermex.com.mx/images/pdf-opt-gris.png">
          <a:extLst>
            <a:ext uri="{FF2B5EF4-FFF2-40B4-BE49-F238E27FC236}">
              <a16:creationId xmlns:a16="http://schemas.microsoft.com/office/drawing/2014/main" id="{00000000-0008-0000-0000-00005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68" name="Picture 150" descr="http://www.conermex.com.mx/images/pdf-opt-gris.png">
          <a:extLst>
            <a:ext uri="{FF2B5EF4-FFF2-40B4-BE49-F238E27FC236}">
              <a16:creationId xmlns:a16="http://schemas.microsoft.com/office/drawing/2014/main" id="{00000000-0008-0000-0000-00005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69" name="Picture 151" descr="http://www.conermex.com.mx/images/pdf-opt-gris.png">
          <a:extLst>
            <a:ext uri="{FF2B5EF4-FFF2-40B4-BE49-F238E27FC236}">
              <a16:creationId xmlns:a16="http://schemas.microsoft.com/office/drawing/2014/main" id="{00000000-0008-0000-0000-00005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70" name="Picture 152" descr="http://www.conermex.com.mx/images/pdf-opt-gris.png">
          <a:extLst>
            <a:ext uri="{FF2B5EF4-FFF2-40B4-BE49-F238E27FC236}">
              <a16:creationId xmlns:a16="http://schemas.microsoft.com/office/drawing/2014/main" id="{00000000-0008-0000-0000-00005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71" name="Picture 153" descr="http://www.conermex.com.mx/images/pdf-opt-gris.png">
          <a:extLst>
            <a:ext uri="{FF2B5EF4-FFF2-40B4-BE49-F238E27FC236}">
              <a16:creationId xmlns:a16="http://schemas.microsoft.com/office/drawing/2014/main" id="{00000000-0008-0000-0000-00005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72" name="Picture 154" descr="http://www.conermex.com.mx/images/pdf-opt-gris.png">
          <a:extLst>
            <a:ext uri="{FF2B5EF4-FFF2-40B4-BE49-F238E27FC236}">
              <a16:creationId xmlns:a16="http://schemas.microsoft.com/office/drawing/2014/main" id="{00000000-0008-0000-0000-00005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73" name="Picture 155" descr="http://www.conermex.com.mx/images/pdf-opt-gris.png">
          <a:extLst>
            <a:ext uri="{FF2B5EF4-FFF2-40B4-BE49-F238E27FC236}">
              <a16:creationId xmlns:a16="http://schemas.microsoft.com/office/drawing/2014/main" id="{00000000-0008-0000-0000-00005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74" name="Picture 156" descr="http://www.conermex.com.mx/images/pdf-opt-gris.png">
          <a:extLst>
            <a:ext uri="{FF2B5EF4-FFF2-40B4-BE49-F238E27FC236}">
              <a16:creationId xmlns:a16="http://schemas.microsoft.com/office/drawing/2014/main" id="{00000000-0008-0000-0000-00005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75" name="Picture 157" descr="http://www.conermex.com.mx/images/pdf-opt-gris.png">
          <a:extLst>
            <a:ext uri="{FF2B5EF4-FFF2-40B4-BE49-F238E27FC236}">
              <a16:creationId xmlns:a16="http://schemas.microsoft.com/office/drawing/2014/main" id="{00000000-0008-0000-0000-00005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76" name="Picture 158" descr="http://www.conermex.com.mx/images/pdf-opt-gris.png">
          <a:extLst>
            <a:ext uri="{FF2B5EF4-FFF2-40B4-BE49-F238E27FC236}">
              <a16:creationId xmlns:a16="http://schemas.microsoft.com/office/drawing/2014/main" id="{00000000-0008-0000-0000-00005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77" name="Picture 159" descr="http://www.conermex.com.mx/images/pdf-opt-gris.png">
          <a:extLst>
            <a:ext uri="{FF2B5EF4-FFF2-40B4-BE49-F238E27FC236}">
              <a16:creationId xmlns:a16="http://schemas.microsoft.com/office/drawing/2014/main" id="{00000000-0008-0000-0000-00005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78" name="Picture 160" descr="http://www.conermex.com.mx/images/pdf-opt-gris.png">
          <a:extLst>
            <a:ext uri="{FF2B5EF4-FFF2-40B4-BE49-F238E27FC236}">
              <a16:creationId xmlns:a16="http://schemas.microsoft.com/office/drawing/2014/main" id="{00000000-0008-0000-0000-00006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79" name="Picture 161" descr="http://www.conermex.com.mx/images/pdf-opt-gris.png">
          <a:extLst>
            <a:ext uri="{FF2B5EF4-FFF2-40B4-BE49-F238E27FC236}">
              <a16:creationId xmlns:a16="http://schemas.microsoft.com/office/drawing/2014/main" id="{00000000-0008-0000-0000-00006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80" name="Picture 162" descr="http://www.conermex.com.mx/images/pdf-opt-gris.png">
          <a:extLst>
            <a:ext uri="{FF2B5EF4-FFF2-40B4-BE49-F238E27FC236}">
              <a16:creationId xmlns:a16="http://schemas.microsoft.com/office/drawing/2014/main" id="{00000000-0008-0000-0000-00006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81" name="Picture 163" descr="http://www.conermex.com.mx/images/pdf-opt-gris.png">
          <a:extLst>
            <a:ext uri="{FF2B5EF4-FFF2-40B4-BE49-F238E27FC236}">
              <a16:creationId xmlns:a16="http://schemas.microsoft.com/office/drawing/2014/main" id="{00000000-0008-0000-0000-00006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82" name="Picture 164" descr="http://www.conermex.com.mx/images/pdf-opt-gris.png">
          <a:extLst>
            <a:ext uri="{FF2B5EF4-FFF2-40B4-BE49-F238E27FC236}">
              <a16:creationId xmlns:a16="http://schemas.microsoft.com/office/drawing/2014/main" id="{00000000-0008-0000-0000-00006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83" name="Picture 165" descr="http://www.conermex.com.mx/images/pdf-opt-gris.png">
          <a:extLst>
            <a:ext uri="{FF2B5EF4-FFF2-40B4-BE49-F238E27FC236}">
              <a16:creationId xmlns:a16="http://schemas.microsoft.com/office/drawing/2014/main" id="{00000000-0008-0000-0000-00006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84" name="Picture 166" descr="http://www.conermex.com.mx/images/pdf-opt-gris.png">
          <a:extLst>
            <a:ext uri="{FF2B5EF4-FFF2-40B4-BE49-F238E27FC236}">
              <a16:creationId xmlns:a16="http://schemas.microsoft.com/office/drawing/2014/main" id="{00000000-0008-0000-0000-00006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85" name="Picture 167" descr="http://www.conermex.com.mx/images/pdf-opt-gris.png">
          <a:extLst>
            <a:ext uri="{FF2B5EF4-FFF2-40B4-BE49-F238E27FC236}">
              <a16:creationId xmlns:a16="http://schemas.microsoft.com/office/drawing/2014/main" id="{00000000-0008-0000-0000-00006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86" name="Picture 168" descr="http://www.conermex.com.mx/images/pdf-opt-gris.png">
          <a:extLst>
            <a:ext uri="{FF2B5EF4-FFF2-40B4-BE49-F238E27FC236}">
              <a16:creationId xmlns:a16="http://schemas.microsoft.com/office/drawing/2014/main" id="{00000000-0008-0000-0000-00006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87" name="Picture 169" descr="http://www.conermex.com.mx/images/pdf-opt-gris.png">
          <a:extLst>
            <a:ext uri="{FF2B5EF4-FFF2-40B4-BE49-F238E27FC236}">
              <a16:creationId xmlns:a16="http://schemas.microsoft.com/office/drawing/2014/main" id="{00000000-0008-0000-0000-00006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88" name="Picture 170" descr="http://www.conermex.com.mx/images/pdf-opt-gris.png">
          <a:extLst>
            <a:ext uri="{FF2B5EF4-FFF2-40B4-BE49-F238E27FC236}">
              <a16:creationId xmlns:a16="http://schemas.microsoft.com/office/drawing/2014/main" id="{00000000-0008-0000-0000-00006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89" name="Picture 171" descr="http://www.conermex.com.mx/images/pdf-opt-gris.png">
          <a:extLst>
            <a:ext uri="{FF2B5EF4-FFF2-40B4-BE49-F238E27FC236}">
              <a16:creationId xmlns:a16="http://schemas.microsoft.com/office/drawing/2014/main" id="{00000000-0008-0000-0000-00006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90" name="Picture 172" descr="http://www.conermex.com.mx/images/pdf-opt-gris.png">
          <a:extLst>
            <a:ext uri="{FF2B5EF4-FFF2-40B4-BE49-F238E27FC236}">
              <a16:creationId xmlns:a16="http://schemas.microsoft.com/office/drawing/2014/main" id="{00000000-0008-0000-0000-00006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91" name="Picture 173" descr="http://www.conermex.com.mx/images/pdf-opt-gris.png">
          <a:extLst>
            <a:ext uri="{FF2B5EF4-FFF2-40B4-BE49-F238E27FC236}">
              <a16:creationId xmlns:a16="http://schemas.microsoft.com/office/drawing/2014/main" id="{00000000-0008-0000-0000-00006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92" name="Picture 174" descr="http://www.conermex.com.mx/images/pdf-opt-gris.png">
          <a:extLst>
            <a:ext uri="{FF2B5EF4-FFF2-40B4-BE49-F238E27FC236}">
              <a16:creationId xmlns:a16="http://schemas.microsoft.com/office/drawing/2014/main" id="{00000000-0008-0000-0000-00006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93" name="Picture 175" descr="http://www.conermex.com.mx/images/pdf-opt-gris.png">
          <a:extLst>
            <a:ext uri="{FF2B5EF4-FFF2-40B4-BE49-F238E27FC236}">
              <a16:creationId xmlns:a16="http://schemas.microsoft.com/office/drawing/2014/main" id="{00000000-0008-0000-0000-00006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94" name="Picture 176" descr="http://www.conermex.com.mx/images/pdf-opt-gris.png">
          <a:extLst>
            <a:ext uri="{FF2B5EF4-FFF2-40B4-BE49-F238E27FC236}">
              <a16:creationId xmlns:a16="http://schemas.microsoft.com/office/drawing/2014/main" id="{00000000-0008-0000-0000-00007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95" name="Picture 177" descr="http://www.conermex.com.mx/images/pdf-opt-gris.png">
          <a:extLst>
            <a:ext uri="{FF2B5EF4-FFF2-40B4-BE49-F238E27FC236}">
              <a16:creationId xmlns:a16="http://schemas.microsoft.com/office/drawing/2014/main" id="{00000000-0008-0000-0000-00007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96" name="Picture 178" descr="http://www.conermex.com.mx/images/pdf-opt-gris.png">
          <a:extLst>
            <a:ext uri="{FF2B5EF4-FFF2-40B4-BE49-F238E27FC236}">
              <a16:creationId xmlns:a16="http://schemas.microsoft.com/office/drawing/2014/main" id="{00000000-0008-0000-0000-00007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97" name="Picture 179" descr="http://www.conermex.com.mx/images/pdf-opt-gris.png">
          <a:extLst>
            <a:ext uri="{FF2B5EF4-FFF2-40B4-BE49-F238E27FC236}">
              <a16:creationId xmlns:a16="http://schemas.microsoft.com/office/drawing/2014/main" id="{00000000-0008-0000-0000-00007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98" name="Picture 180" descr="http://www.conermex.com.mx/images/pdf-opt-gris.png">
          <a:extLst>
            <a:ext uri="{FF2B5EF4-FFF2-40B4-BE49-F238E27FC236}">
              <a16:creationId xmlns:a16="http://schemas.microsoft.com/office/drawing/2014/main" id="{00000000-0008-0000-0000-00007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199" name="Picture 181" descr="http://www.conermex.com.mx/images/pdf-opt-gris.png">
          <a:extLst>
            <a:ext uri="{FF2B5EF4-FFF2-40B4-BE49-F238E27FC236}">
              <a16:creationId xmlns:a16="http://schemas.microsoft.com/office/drawing/2014/main" id="{00000000-0008-0000-0000-00007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200" name="Picture 182" descr="http://www.conermex.com.mx/images/pdf-opt-gris.png">
          <a:extLst>
            <a:ext uri="{FF2B5EF4-FFF2-40B4-BE49-F238E27FC236}">
              <a16:creationId xmlns:a16="http://schemas.microsoft.com/office/drawing/2014/main" id="{00000000-0008-0000-0000-00007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201" name="Picture 183" descr="http://www.conermex.com.mx/images/pdf-opt-gris.png">
          <a:extLst>
            <a:ext uri="{FF2B5EF4-FFF2-40B4-BE49-F238E27FC236}">
              <a16:creationId xmlns:a16="http://schemas.microsoft.com/office/drawing/2014/main" id="{00000000-0008-0000-0000-00007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202" name="Picture 184" descr="http://www.conermex.com.mx/images/pdf-opt-gris.png">
          <a:extLst>
            <a:ext uri="{FF2B5EF4-FFF2-40B4-BE49-F238E27FC236}">
              <a16:creationId xmlns:a16="http://schemas.microsoft.com/office/drawing/2014/main" id="{00000000-0008-0000-0000-00007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203" name="Picture 185" descr="http://www.conermex.com.mx/images/pdf-opt-gris.png">
          <a:extLst>
            <a:ext uri="{FF2B5EF4-FFF2-40B4-BE49-F238E27FC236}">
              <a16:creationId xmlns:a16="http://schemas.microsoft.com/office/drawing/2014/main" id="{00000000-0008-0000-0000-00007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204" name="Picture 186" descr="http://www.conermex.com.mx/images/pdf-opt-gris.png">
          <a:extLst>
            <a:ext uri="{FF2B5EF4-FFF2-40B4-BE49-F238E27FC236}">
              <a16:creationId xmlns:a16="http://schemas.microsoft.com/office/drawing/2014/main" id="{00000000-0008-0000-0000-00007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205" name="Picture 187" descr="http://www.conermex.com.mx/images/pdf-opt-gris.png">
          <a:extLst>
            <a:ext uri="{FF2B5EF4-FFF2-40B4-BE49-F238E27FC236}">
              <a16:creationId xmlns:a16="http://schemas.microsoft.com/office/drawing/2014/main" id="{00000000-0008-0000-0000-00007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206" name="Picture 188" descr="http://www.conermex.com.mx/images/pdf-opt-gris.png">
          <a:extLst>
            <a:ext uri="{FF2B5EF4-FFF2-40B4-BE49-F238E27FC236}">
              <a16:creationId xmlns:a16="http://schemas.microsoft.com/office/drawing/2014/main" id="{00000000-0008-0000-0000-00007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oneCellAnchor>
    <xdr:from>
      <xdr:col>1</xdr:col>
      <xdr:colOff>0</xdr:colOff>
      <xdr:row>7</xdr:row>
      <xdr:rowOff>0</xdr:rowOff>
    </xdr:from>
    <xdr:ext cx="285750" cy="275915"/>
    <xdr:pic>
      <xdr:nvPicPr>
        <xdr:cNvPr id="207" name="Picture 189" descr="http://www.conermex.com.mx/images/pdf-opt-gris.png">
          <a:extLst>
            <a:ext uri="{FF2B5EF4-FFF2-40B4-BE49-F238E27FC236}">
              <a16:creationId xmlns:a16="http://schemas.microsoft.com/office/drawing/2014/main" id="{00000000-0008-0000-0000-00007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oneCellAnchor>
  <xdr:twoCellAnchor editAs="oneCell">
    <xdr:from>
      <xdr:col>1</xdr:col>
      <xdr:colOff>0</xdr:colOff>
      <xdr:row>7</xdr:row>
      <xdr:rowOff>0</xdr:rowOff>
    </xdr:from>
    <xdr:to>
      <xdr:col>1</xdr:col>
      <xdr:colOff>285750</xdr:colOff>
      <xdr:row>7</xdr:row>
      <xdr:rowOff>275915</xdr:rowOff>
    </xdr:to>
    <xdr:pic>
      <xdr:nvPicPr>
        <xdr:cNvPr id="208" name="Picture 190" descr="http://www.conermex.com.mx/images/pdf-opt-gris.png">
          <a:extLst>
            <a:ext uri="{FF2B5EF4-FFF2-40B4-BE49-F238E27FC236}">
              <a16:creationId xmlns:a16="http://schemas.microsoft.com/office/drawing/2014/main" id="{00000000-0008-0000-0000-00007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09" name="Picture 191" descr="http://www.conermex.com.mx/images/pdf-opt-gris.png">
          <a:extLst>
            <a:ext uri="{FF2B5EF4-FFF2-40B4-BE49-F238E27FC236}">
              <a16:creationId xmlns:a16="http://schemas.microsoft.com/office/drawing/2014/main" id="{00000000-0008-0000-0000-00007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10" name="Picture 192" descr="http://www.conermex.com.mx/images/pdf-opt-gris.png">
          <a:extLst>
            <a:ext uri="{FF2B5EF4-FFF2-40B4-BE49-F238E27FC236}">
              <a16:creationId xmlns:a16="http://schemas.microsoft.com/office/drawing/2014/main" id="{00000000-0008-0000-0000-00008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11" name="Picture 193" descr="http://www.conermex.com.mx/images/pdf-opt-gris.png">
          <a:extLst>
            <a:ext uri="{FF2B5EF4-FFF2-40B4-BE49-F238E27FC236}">
              <a16:creationId xmlns:a16="http://schemas.microsoft.com/office/drawing/2014/main" id="{00000000-0008-0000-0000-00008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12" name="Picture 194" descr="http://www.conermex.com.mx/images/pdf-opt-gris.png">
          <a:extLst>
            <a:ext uri="{FF2B5EF4-FFF2-40B4-BE49-F238E27FC236}">
              <a16:creationId xmlns:a16="http://schemas.microsoft.com/office/drawing/2014/main" id="{00000000-0008-0000-0000-00008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13" name="Picture 195" descr="http://www.conermex.com.mx/images/pdf-opt-gris.png">
          <a:extLst>
            <a:ext uri="{FF2B5EF4-FFF2-40B4-BE49-F238E27FC236}">
              <a16:creationId xmlns:a16="http://schemas.microsoft.com/office/drawing/2014/main" id="{00000000-0008-0000-0000-00008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14" name="Picture 196" descr="http://www.conermex.com.mx/images/pdf-opt-gris.png">
          <a:extLst>
            <a:ext uri="{FF2B5EF4-FFF2-40B4-BE49-F238E27FC236}">
              <a16:creationId xmlns:a16="http://schemas.microsoft.com/office/drawing/2014/main" id="{00000000-0008-0000-0000-00008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15" name="Picture 197" descr="http://www.conermex.com.mx/images/pdf-opt-gris.png">
          <a:extLst>
            <a:ext uri="{FF2B5EF4-FFF2-40B4-BE49-F238E27FC236}">
              <a16:creationId xmlns:a16="http://schemas.microsoft.com/office/drawing/2014/main" id="{00000000-0008-0000-0000-00008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16" name="Picture 198" descr="http://www.conermex.com.mx/images/pdf-opt-gris.png">
          <a:extLst>
            <a:ext uri="{FF2B5EF4-FFF2-40B4-BE49-F238E27FC236}">
              <a16:creationId xmlns:a16="http://schemas.microsoft.com/office/drawing/2014/main" id="{00000000-0008-0000-0000-00008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17" name="Picture 199" descr="http://www.conermex.com.mx/images/pdf-opt-gris.png">
          <a:extLst>
            <a:ext uri="{FF2B5EF4-FFF2-40B4-BE49-F238E27FC236}">
              <a16:creationId xmlns:a16="http://schemas.microsoft.com/office/drawing/2014/main" id="{00000000-0008-0000-0000-00008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18" name="Picture 200" descr="http://www.conermex.com.mx/images/pdf-opt-gris.png">
          <a:extLst>
            <a:ext uri="{FF2B5EF4-FFF2-40B4-BE49-F238E27FC236}">
              <a16:creationId xmlns:a16="http://schemas.microsoft.com/office/drawing/2014/main" id="{00000000-0008-0000-0000-00008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19" name="Picture 201" descr="http://www.conermex.com.mx/images/pdf-opt-gris.png">
          <a:extLst>
            <a:ext uri="{FF2B5EF4-FFF2-40B4-BE49-F238E27FC236}">
              <a16:creationId xmlns:a16="http://schemas.microsoft.com/office/drawing/2014/main" id="{00000000-0008-0000-0000-00008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20" name="Picture 202" descr="http://www.conermex.com.mx/images/pdf-opt-gris.png">
          <a:extLst>
            <a:ext uri="{FF2B5EF4-FFF2-40B4-BE49-F238E27FC236}">
              <a16:creationId xmlns:a16="http://schemas.microsoft.com/office/drawing/2014/main" id="{00000000-0008-0000-0000-00008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21" name="Picture 203" descr="http://www.conermex.com.mx/images/pdf-opt-gris.png">
          <a:extLst>
            <a:ext uri="{FF2B5EF4-FFF2-40B4-BE49-F238E27FC236}">
              <a16:creationId xmlns:a16="http://schemas.microsoft.com/office/drawing/2014/main" id="{00000000-0008-0000-0000-00008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22" name="Picture 204" descr="http://www.conermex.com.mx/images/pdf-opt-gris.png">
          <a:extLst>
            <a:ext uri="{FF2B5EF4-FFF2-40B4-BE49-F238E27FC236}">
              <a16:creationId xmlns:a16="http://schemas.microsoft.com/office/drawing/2014/main" id="{00000000-0008-0000-0000-00008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23" name="Picture 205" descr="http://www.conermex.com.mx/images/pdf-opt-gris.png">
          <a:extLst>
            <a:ext uri="{FF2B5EF4-FFF2-40B4-BE49-F238E27FC236}">
              <a16:creationId xmlns:a16="http://schemas.microsoft.com/office/drawing/2014/main" id="{00000000-0008-0000-0000-00008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24" name="Picture 206" descr="http://www.conermex.com.mx/images/pdf-opt-gris.png">
          <a:extLst>
            <a:ext uri="{FF2B5EF4-FFF2-40B4-BE49-F238E27FC236}">
              <a16:creationId xmlns:a16="http://schemas.microsoft.com/office/drawing/2014/main" id="{00000000-0008-0000-0000-00008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25" name="Picture 207" descr="http://www.conermex.com.mx/images/pdf-opt-gris.png">
          <a:extLst>
            <a:ext uri="{FF2B5EF4-FFF2-40B4-BE49-F238E27FC236}">
              <a16:creationId xmlns:a16="http://schemas.microsoft.com/office/drawing/2014/main" id="{00000000-0008-0000-0000-00008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26" name="Picture 208" descr="http://www.conermex.com.mx/images/pdf-opt-gris.png">
          <a:extLst>
            <a:ext uri="{FF2B5EF4-FFF2-40B4-BE49-F238E27FC236}">
              <a16:creationId xmlns:a16="http://schemas.microsoft.com/office/drawing/2014/main" id="{00000000-0008-0000-0000-00009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27" name="Picture 209" descr="http://www.conermex.com.mx/images/pdf-opt-gris.png">
          <a:extLst>
            <a:ext uri="{FF2B5EF4-FFF2-40B4-BE49-F238E27FC236}">
              <a16:creationId xmlns:a16="http://schemas.microsoft.com/office/drawing/2014/main" id="{00000000-0008-0000-0000-00009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28" name="Picture 210" descr="http://www.conermex.com.mx/images/pdf-opt-gris.png">
          <a:extLst>
            <a:ext uri="{FF2B5EF4-FFF2-40B4-BE49-F238E27FC236}">
              <a16:creationId xmlns:a16="http://schemas.microsoft.com/office/drawing/2014/main" id="{00000000-0008-0000-0000-00009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29" name="Picture 211" descr="http://www.conermex.com.mx/images/pdf-opt-gris.png">
          <a:extLst>
            <a:ext uri="{FF2B5EF4-FFF2-40B4-BE49-F238E27FC236}">
              <a16:creationId xmlns:a16="http://schemas.microsoft.com/office/drawing/2014/main" id="{00000000-0008-0000-0000-00009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30" name="Picture 212" descr="http://www.conermex.com.mx/images/pdf-opt-gris.png">
          <a:extLst>
            <a:ext uri="{FF2B5EF4-FFF2-40B4-BE49-F238E27FC236}">
              <a16:creationId xmlns:a16="http://schemas.microsoft.com/office/drawing/2014/main" id="{00000000-0008-0000-0000-00009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31" name="Picture 213" descr="http://www.conermex.com.mx/images/pdf-opt-gris.png">
          <a:extLst>
            <a:ext uri="{FF2B5EF4-FFF2-40B4-BE49-F238E27FC236}">
              <a16:creationId xmlns:a16="http://schemas.microsoft.com/office/drawing/2014/main" id="{00000000-0008-0000-0000-00009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32" name="Picture 214" descr="http://www.conermex.com.mx/images/pdf-opt-gris.png">
          <a:extLst>
            <a:ext uri="{FF2B5EF4-FFF2-40B4-BE49-F238E27FC236}">
              <a16:creationId xmlns:a16="http://schemas.microsoft.com/office/drawing/2014/main" id="{00000000-0008-0000-0000-00009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33" name="Picture 215" descr="http://www.conermex.com.mx/images/pdf-opt-gris.png">
          <a:extLst>
            <a:ext uri="{FF2B5EF4-FFF2-40B4-BE49-F238E27FC236}">
              <a16:creationId xmlns:a16="http://schemas.microsoft.com/office/drawing/2014/main" id="{00000000-0008-0000-0000-00009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34" name="Picture 216" descr="http://www.conermex.com.mx/images/pdf-opt-gris.png">
          <a:extLst>
            <a:ext uri="{FF2B5EF4-FFF2-40B4-BE49-F238E27FC236}">
              <a16:creationId xmlns:a16="http://schemas.microsoft.com/office/drawing/2014/main" id="{00000000-0008-0000-0000-00009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35" name="Picture 217" descr="http://www.conermex.com.mx/images/pdf-opt-gris.png">
          <a:extLst>
            <a:ext uri="{FF2B5EF4-FFF2-40B4-BE49-F238E27FC236}">
              <a16:creationId xmlns:a16="http://schemas.microsoft.com/office/drawing/2014/main" id="{00000000-0008-0000-0000-00009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36" name="Picture 218" descr="http://www.conermex.com.mx/images/pdf-opt-gris.png">
          <a:extLst>
            <a:ext uri="{FF2B5EF4-FFF2-40B4-BE49-F238E27FC236}">
              <a16:creationId xmlns:a16="http://schemas.microsoft.com/office/drawing/2014/main" id="{00000000-0008-0000-0000-00009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37" name="Picture 219" descr="http://www.conermex.com.mx/images/pdf-opt-gris.png">
          <a:extLst>
            <a:ext uri="{FF2B5EF4-FFF2-40B4-BE49-F238E27FC236}">
              <a16:creationId xmlns:a16="http://schemas.microsoft.com/office/drawing/2014/main" id="{00000000-0008-0000-0000-00009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38" name="Picture 220" descr="http://www.conermex.com.mx/images/pdf-opt-gris.png">
          <a:extLst>
            <a:ext uri="{FF2B5EF4-FFF2-40B4-BE49-F238E27FC236}">
              <a16:creationId xmlns:a16="http://schemas.microsoft.com/office/drawing/2014/main" id="{00000000-0008-0000-0000-00009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39" name="Picture 221" descr="http://www.conermex.com.mx/images/pdf-opt-gris.png">
          <a:extLst>
            <a:ext uri="{FF2B5EF4-FFF2-40B4-BE49-F238E27FC236}">
              <a16:creationId xmlns:a16="http://schemas.microsoft.com/office/drawing/2014/main" id="{00000000-0008-0000-0000-00009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40" name="Picture 222" descr="http://www.conermex.com.mx/images/pdf-opt-gris.png">
          <a:extLst>
            <a:ext uri="{FF2B5EF4-FFF2-40B4-BE49-F238E27FC236}">
              <a16:creationId xmlns:a16="http://schemas.microsoft.com/office/drawing/2014/main" id="{00000000-0008-0000-0000-00009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41" name="Picture 223" descr="http://www.conermex.com.mx/images/pdf-opt-gris.png">
          <a:extLst>
            <a:ext uri="{FF2B5EF4-FFF2-40B4-BE49-F238E27FC236}">
              <a16:creationId xmlns:a16="http://schemas.microsoft.com/office/drawing/2014/main" id="{00000000-0008-0000-0000-00009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42" name="Picture 224" descr="http://www.conermex.com.mx/images/pdf-opt-gris.png">
          <a:extLst>
            <a:ext uri="{FF2B5EF4-FFF2-40B4-BE49-F238E27FC236}">
              <a16:creationId xmlns:a16="http://schemas.microsoft.com/office/drawing/2014/main" id="{00000000-0008-0000-0000-0000A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43" name="Picture 225" descr="http://www.conermex.com.mx/images/pdf-opt-gris.png">
          <a:extLst>
            <a:ext uri="{FF2B5EF4-FFF2-40B4-BE49-F238E27FC236}">
              <a16:creationId xmlns:a16="http://schemas.microsoft.com/office/drawing/2014/main" id="{00000000-0008-0000-0000-0000A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44" name="Picture 226" descr="http://www.conermex.com.mx/images/pdf-opt-gris.png">
          <a:extLst>
            <a:ext uri="{FF2B5EF4-FFF2-40B4-BE49-F238E27FC236}">
              <a16:creationId xmlns:a16="http://schemas.microsoft.com/office/drawing/2014/main" id="{00000000-0008-0000-0000-0000A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45" name="Picture 227" descr="http://www.conermex.com.mx/images/pdf-opt-gris.png">
          <a:extLst>
            <a:ext uri="{FF2B5EF4-FFF2-40B4-BE49-F238E27FC236}">
              <a16:creationId xmlns:a16="http://schemas.microsoft.com/office/drawing/2014/main" id="{00000000-0008-0000-0000-0000A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46" name="Picture 228" descr="http://www.conermex.com.mx/images/pdf-opt-gris.png">
          <a:extLst>
            <a:ext uri="{FF2B5EF4-FFF2-40B4-BE49-F238E27FC236}">
              <a16:creationId xmlns:a16="http://schemas.microsoft.com/office/drawing/2014/main" id="{00000000-0008-0000-0000-0000A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47" name="Picture 229" descr="http://www.conermex.com.mx/images/pdf-opt-gris.png">
          <a:extLst>
            <a:ext uri="{FF2B5EF4-FFF2-40B4-BE49-F238E27FC236}">
              <a16:creationId xmlns:a16="http://schemas.microsoft.com/office/drawing/2014/main" id="{00000000-0008-0000-0000-0000A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48" name="Picture 230" descr="http://www.conermex.com.mx/images/pdf-opt-gris.png">
          <a:extLst>
            <a:ext uri="{FF2B5EF4-FFF2-40B4-BE49-F238E27FC236}">
              <a16:creationId xmlns:a16="http://schemas.microsoft.com/office/drawing/2014/main" id="{00000000-0008-0000-0000-0000A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49" name="Picture 231" descr="http://www.conermex.com.mx/images/pdf-opt-gris.png">
          <a:extLst>
            <a:ext uri="{FF2B5EF4-FFF2-40B4-BE49-F238E27FC236}">
              <a16:creationId xmlns:a16="http://schemas.microsoft.com/office/drawing/2014/main" id="{00000000-0008-0000-0000-0000A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50" name="Picture 232" descr="http://www.conermex.com.mx/images/pdf-opt-gris.png">
          <a:extLst>
            <a:ext uri="{FF2B5EF4-FFF2-40B4-BE49-F238E27FC236}">
              <a16:creationId xmlns:a16="http://schemas.microsoft.com/office/drawing/2014/main" id="{00000000-0008-0000-0000-0000A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51" name="Picture 233" descr="http://www.conermex.com.mx/images/pdf-opt-gris.png">
          <a:extLst>
            <a:ext uri="{FF2B5EF4-FFF2-40B4-BE49-F238E27FC236}">
              <a16:creationId xmlns:a16="http://schemas.microsoft.com/office/drawing/2014/main" id="{00000000-0008-0000-0000-0000A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52" name="Picture 234" descr="http://www.conermex.com.mx/images/pdf-opt-gris.png">
          <a:extLst>
            <a:ext uri="{FF2B5EF4-FFF2-40B4-BE49-F238E27FC236}">
              <a16:creationId xmlns:a16="http://schemas.microsoft.com/office/drawing/2014/main" id="{00000000-0008-0000-0000-0000A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53" name="Picture 235" descr="http://www.conermex.com.mx/images/pdf-opt-gris.png">
          <a:extLst>
            <a:ext uri="{FF2B5EF4-FFF2-40B4-BE49-F238E27FC236}">
              <a16:creationId xmlns:a16="http://schemas.microsoft.com/office/drawing/2014/main" id="{00000000-0008-0000-0000-0000A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54" name="Picture 236" descr="http://www.conermex.com.mx/images/pdf-opt.png">
          <a:hlinkClick xmlns:r="http://schemas.openxmlformats.org/officeDocument/2006/relationships" r:id="rId8" tgtFrame="_blank"/>
          <a:extLst>
            <a:ext uri="{FF2B5EF4-FFF2-40B4-BE49-F238E27FC236}">
              <a16:creationId xmlns:a16="http://schemas.microsoft.com/office/drawing/2014/main" id="{00000000-0008-0000-0000-0000AC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55" name="Picture 237" descr="http://www.conermex.com.mx/images/pdf-opt.png">
          <a:hlinkClick xmlns:r="http://schemas.openxmlformats.org/officeDocument/2006/relationships" r:id="rId9" tgtFrame="_blank"/>
          <a:extLst>
            <a:ext uri="{FF2B5EF4-FFF2-40B4-BE49-F238E27FC236}">
              <a16:creationId xmlns:a16="http://schemas.microsoft.com/office/drawing/2014/main" id="{00000000-0008-0000-0000-0000AD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56" name="Picture 238" descr="http://www.conermex.com.mx/images/pdf-opt-gris.png">
          <a:extLst>
            <a:ext uri="{FF2B5EF4-FFF2-40B4-BE49-F238E27FC236}">
              <a16:creationId xmlns:a16="http://schemas.microsoft.com/office/drawing/2014/main" id="{00000000-0008-0000-0000-0000A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57" name="Picture 239" descr="http://www.conermex.com.mx/images/pdf-opt-gris.png">
          <a:extLst>
            <a:ext uri="{FF2B5EF4-FFF2-40B4-BE49-F238E27FC236}">
              <a16:creationId xmlns:a16="http://schemas.microsoft.com/office/drawing/2014/main" id="{00000000-0008-0000-0000-0000A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58" name="Picture 240" descr="http://www.conermex.com.mx/images/pdf-opt-gris.png">
          <a:extLst>
            <a:ext uri="{FF2B5EF4-FFF2-40B4-BE49-F238E27FC236}">
              <a16:creationId xmlns:a16="http://schemas.microsoft.com/office/drawing/2014/main" id="{00000000-0008-0000-0000-0000B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59" name="Picture 241" descr="http://www.conermex.com.mx/images/pdf-opt.png">
          <a:hlinkClick xmlns:r="http://schemas.openxmlformats.org/officeDocument/2006/relationships" r:id="rId10" tgtFrame="_blank"/>
          <a:extLst>
            <a:ext uri="{FF2B5EF4-FFF2-40B4-BE49-F238E27FC236}">
              <a16:creationId xmlns:a16="http://schemas.microsoft.com/office/drawing/2014/main" id="{00000000-0008-0000-0000-0000B1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60" name="Picture 242" descr="http://www.conermex.com.mx/images/pdf-opt.png">
          <a:hlinkClick xmlns:r="http://schemas.openxmlformats.org/officeDocument/2006/relationships" r:id="rId10" tgtFrame="_blank"/>
          <a:extLst>
            <a:ext uri="{FF2B5EF4-FFF2-40B4-BE49-F238E27FC236}">
              <a16:creationId xmlns:a16="http://schemas.microsoft.com/office/drawing/2014/main" id="{00000000-0008-0000-0000-0000B2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61" name="Picture 243" descr="http://www.conermex.com.mx/images/pdf-opt.png">
          <a:hlinkClick xmlns:r="http://schemas.openxmlformats.org/officeDocument/2006/relationships" r:id="rId11" tgtFrame="_blank"/>
          <a:extLst>
            <a:ext uri="{FF2B5EF4-FFF2-40B4-BE49-F238E27FC236}">
              <a16:creationId xmlns:a16="http://schemas.microsoft.com/office/drawing/2014/main" id="{00000000-0008-0000-0000-0000B3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62" name="Picture 244" descr="http://www.conermex.com.mx/images/pdf-opt.png">
          <a:hlinkClick xmlns:r="http://schemas.openxmlformats.org/officeDocument/2006/relationships" r:id="rId11" tgtFrame="_blank"/>
          <a:extLst>
            <a:ext uri="{FF2B5EF4-FFF2-40B4-BE49-F238E27FC236}">
              <a16:creationId xmlns:a16="http://schemas.microsoft.com/office/drawing/2014/main" id="{00000000-0008-0000-0000-0000B4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63" name="Picture 245" descr="http://www.conermex.com.mx/images/pdf-opt.png">
          <a:hlinkClick xmlns:r="http://schemas.openxmlformats.org/officeDocument/2006/relationships" r:id="rId11" tgtFrame="_blank"/>
          <a:extLst>
            <a:ext uri="{FF2B5EF4-FFF2-40B4-BE49-F238E27FC236}">
              <a16:creationId xmlns:a16="http://schemas.microsoft.com/office/drawing/2014/main" id="{00000000-0008-0000-0000-0000B5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64" name="Picture 246" descr="http://www.conermex.com.mx/images/pdf-opt-gris.png">
          <a:hlinkClick xmlns:r="http://schemas.openxmlformats.org/officeDocument/2006/relationships" r:id="rId10" tgtFrame="_blank"/>
          <a:extLst>
            <a:ext uri="{FF2B5EF4-FFF2-40B4-BE49-F238E27FC236}">
              <a16:creationId xmlns:a16="http://schemas.microsoft.com/office/drawing/2014/main" id="{00000000-0008-0000-0000-0000B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65" name="Picture 247" descr="http://www.conermex.com.mx/images/pdf-opt-gris.png">
          <a:hlinkClick xmlns:r="http://schemas.openxmlformats.org/officeDocument/2006/relationships" r:id="rId10" tgtFrame="_blank"/>
          <a:extLst>
            <a:ext uri="{FF2B5EF4-FFF2-40B4-BE49-F238E27FC236}">
              <a16:creationId xmlns:a16="http://schemas.microsoft.com/office/drawing/2014/main" id="{00000000-0008-0000-0000-0000B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66" name="Picture 248" descr="http://www.conermex.com.mx/images/pdf-opt-gris.png">
          <a:extLst>
            <a:ext uri="{FF2B5EF4-FFF2-40B4-BE49-F238E27FC236}">
              <a16:creationId xmlns:a16="http://schemas.microsoft.com/office/drawing/2014/main" id="{00000000-0008-0000-0000-0000B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67" name="Picture 249" descr="http://www.conermex.com.mx/images/pdf-opt-gris.png">
          <a:extLst>
            <a:ext uri="{FF2B5EF4-FFF2-40B4-BE49-F238E27FC236}">
              <a16:creationId xmlns:a16="http://schemas.microsoft.com/office/drawing/2014/main" id="{00000000-0008-0000-0000-0000B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68" name="Picture 250" descr="http://www.conermex.com.mx/images/pdf-opt.png">
          <a:hlinkClick xmlns:r="http://schemas.openxmlformats.org/officeDocument/2006/relationships" r:id="rId12" tgtFrame="_blank"/>
          <a:extLst>
            <a:ext uri="{FF2B5EF4-FFF2-40B4-BE49-F238E27FC236}">
              <a16:creationId xmlns:a16="http://schemas.microsoft.com/office/drawing/2014/main" id="{00000000-0008-0000-0000-0000BA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69" name="Picture 251" descr="http://www.conermex.com.mx/images/pdf-opt.png">
          <a:hlinkClick xmlns:r="http://schemas.openxmlformats.org/officeDocument/2006/relationships" r:id="rId13" tgtFrame="_blank"/>
          <a:extLst>
            <a:ext uri="{FF2B5EF4-FFF2-40B4-BE49-F238E27FC236}">
              <a16:creationId xmlns:a16="http://schemas.microsoft.com/office/drawing/2014/main" id="{00000000-0008-0000-0000-0000BB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70" name="Picture 252" descr="http://www.conermex.com.mx/images/pdf-opt.png">
          <a:hlinkClick xmlns:r="http://schemas.openxmlformats.org/officeDocument/2006/relationships" r:id="rId13" tgtFrame="_blank"/>
          <a:extLst>
            <a:ext uri="{FF2B5EF4-FFF2-40B4-BE49-F238E27FC236}">
              <a16:creationId xmlns:a16="http://schemas.microsoft.com/office/drawing/2014/main" id="{00000000-0008-0000-0000-0000BC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71" name="Picture 114" descr="http://www.conermex.com.mx/images/pdf-opt.png">
          <a:hlinkClick xmlns:r="http://schemas.openxmlformats.org/officeDocument/2006/relationships" r:id="rId14" tgtFrame="_blank"/>
          <a:extLst>
            <a:ext uri="{FF2B5EF4-FFF2-40B4-BE49-F238E27FC236}">
              <a16:creationId xmlns:a16="http://schemas.microsoft.com/office/drawing/2014/main" id="{00000000-0008-0000-0000-0000BE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72" name="Picture 115" descr="http://www.conermex.com.mx/images/pdf-opt.png">
          <a:hlinkClick xmlns:r="http://schemas.openxmlformats.org/officeDocument/2006/relationships" r:id="rId15" tgtFrame="_blank"/>
          <a:extLst>
            <a:ext uri="{FF2B5EF4-FFF2-40B4-BE49-F238E27FC236}">
              <a16:creationId xmlns:a16="http://schemas.microsoft.com/office/drawing/2014/main" id="{00000000-0008-0000-0000-0000BF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73" name="Picture 116" descr="http://www.conermex.com.mx/images/pdf-opt.png">
          <a:hlinkClick xmlns:r="http://schemas.openxmlformats.org/officeDocument/2006/relationships" r:id="rId16" tgtFrame="_blank"/>
          <a:extLst>
            <a:ext uri="{FF2B5EF4-FFF2-40B4-BE49-F238E27FC236}">
              <a16:creationId xmlns:a16="http://schemas.microsoft.com/office/drawing/2014/main" id="{00000000-0008-0000-0000-0000C0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74" name="Picture 117" descr="http://www.conermex.com.mx/images/pdf-opt.png">
          <a:hlinkClick xmlns:r="http://schemas.openxmlformats.org/officeDocument/2006/relationships" r:id="rId17" tgtFrame="_blank"/>
          <a:extLst>
            <a:ext uri="{FF2B5EF4-FFF2-40B4-BE49-F238E27FC236}">
              <a16:creationId xmlns:a16="http://schemas.microsoft.com/office/drawing/2014/main" id="{00000000-0008-0000-0000-0000C1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75" name="Picture 118" descr="http://www.conermex.com.mx/images/pdf-opt.png">
          <a:hlinkClick xmlns:r="http://schemas.openxmlformats.org/officeDocument/2006/relationships" r:id="rId18" tgtFrame="_blank"/>
          <a:extLst>
            <a:ext uri="{FF2B5EF4-FFF2-40B4-BE49-F238E27FC236}">
              <a16:creationId xmlns:a16="http://schemas.microsoft.com/office/drawing/2014/main" id="{00000000-0008-0000-0000-0000C2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76" name="Picture 119" descr="http://www.conermex.com.mx/images/pdf-opt.png">
          <a:hlinkClick xmlns:r="http://schemas.openxmlformats.org/officeDocument/2006/relationships" r:id="rId19" tgtFrame="_blank"/>
          <a:extLst>
            <a:ext uri="{FF2B5EF4-FFF2-40B4-BE49-F238E27FC236}">
              <a16:creationId xmlns:a16="http://schemas.microsoft.com/office/drawing/2014/main" id="{00000000-0008-0000-0000-0000C3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77" name="Picture 120" descr="http://www.conermex.com.mx/images/pdf-opt-gris.png">
          <a:extLst>
            <a:ext uri="{FF2B5EF4-FFF2-40B4-BE49-F238E27FC236}">
              <a16:creationId xmlns:a16="http://schemas.microsoft.com/office/drawing/2014/main" id="{00000000-0008-0000-0000-0000C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78" name="Picture 121" descr="http://www.conermex.com.mx/images/pdf-opt.png">
          <a:hlinkClick xmlns:r="http://schemas.openxmlformats.org/officeDocument/2006/relationships" r:id="rId20"/>
          <a:extLst>
            <a:ext uri="{FF2B5EF4-FFF2-40B4-BE49-F238E27FC236}">
              <a16:creationId xmlns:a16="http://schemas.microsoft.com/office/drawing/2014/main" id="{00000000-0008-0000-0000-0000C5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79" name="Picture 122" descr="http://www.conermex.com.mx/images/pdf-opt-gris.png">
          <a:extLst>
            <a:ext uri="{FF2B5EF4-FFF2-40B4-BE49-F238E27FC236}">
              <a16:creationId xmlns:a16="http://schemas.microsoft.com/office/drawing/2014/main" id="{00000000-0008-0000-0000-0000C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80" name="Picture 123" descr="http://www.conermex.com.mx/images/pdf-opt-gris.png">
          <a:extLst>
            <a:ext uri="{FF2B5EF4-FFF2-40B4-BE49-F238E27FC236}">
              <a16:creationId xmlns:a16="http://schemas.microsoft.com/office/drawing/2014/main" id="{00000000-0008-0000-0000-0000C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81" name="Picture 124" descr="http://www.conermex.com.mx/images/pdf-opt-gris.png">
          <a:extLst>
            <a:ext uri="{FF2B5EF4-FFF2-40B4-BE49-F238E27FC236}">
              <a16:creationId xmlns:a16="http://schemas.microsoft.com/office/drawing/2014/main" id="{00000000-0008-0000-0000-0000C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82" name="Picture 125"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C9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83" name="Picture 126"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CA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84" name="Picture 127"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CB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85" name="Picture 128"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CC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86" name="Picture 129" descr="http://www.conermex.com.mx/images/pdf-opt-gris.png">
          <a:extLst>
            <a:ext uri="{FF2B5EF4-FFF2-40B4-BE49-F238E27FC236}">
              <a16:creationId xmlns:a16="http://schemas.microsoft.com/office/drawing/2014/main" id="{00000000-0008-0000-0000-0000C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87" name="Picture 130"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CE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88" name="Picture 131"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CF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89" name="Picture 132"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D0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90" name="Picture 133"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D1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91" name="Picture 134" descr="http://www.conermex.com.mx/images/pdf-opt.png">
          <a:hlinkClick xmlns:r="http://schemas.openxmlformats.org/officeDocument/2006/relationships" r:id="rId5" tgtFrame="_blank"/>
          <a:extLst>
            <a:ext uri="{FF2B5EF4-FFF2-40B4-BE49-F238E27FC236}">
              <a16:creationId xmlns:a16="http://schemas.microsoft.com/office/drawing/2014/main" id="{00000000-0008-0000-0000-0000D2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92" name="Picture 135" descr="http://www.conermex.com.mx/images/pdf-opt.png">
          <a:hlinkClick xmlns:r="http://schemas.openxmlformats.org/officeDocument/2006/relationships" r:id="rId5" tgtFrame="_blank"/>
          <a:extLst>
            <a:ext uri="{FF2B5EF4-FFF2-40B4-BE49-F238E27FC236}">
              <a16:creationId xmlns:a16="http://schemas.microsoft.com/office/drawing/2014/main" id="{00000000-0008-0000-0000-0000D3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93" name="Picture 136"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D4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94" name="Picture 137"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D5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95" name="Picture 138"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D6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96" name="Picture 139"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D7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97" name="Picture 140"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D8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98" name="Picture 141"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D9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299" name="Picture 142"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DA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00" name="Picture 143" descr="http://www.conermex.com.mx/images/pdf-opt.png">
          <a:hlinkClick xmlns:r="http://schemas.openxmlformats.org/officeDocument/2006/relationships" r:id="rId8" tgtFrame="_blank"/>
          <a:extLst>
            <a:ext uri="{FF2B5EF4-FFF2-40B4-BE49-F238E27FC236}">
              <a16:creationId xmlns:a16="http://schemas.microsoft.com/office/drawing/2014/main" id="{00000000-0008-0000-0000-0000DB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01" name="Picture 144" descr="http://www.conermex.com.mx/images/pdf-opt.png">
          <a:hlinkClick xmlns:r="http://schemas.openxmlformats.org/officeDocument/2006/relationships" r:id="rId9" tgtFrame="_blank"/>
          <a:extLst>
            <a:ext uri="{FF2B5EF4-FFF2-40B4-BE49-F238E27FC236}">
              <a16:creationId xmlns:a16="http://schemas.microsoft.com/office/drawing/2014/main" id="{00000000-0008-0000-0000-0000DC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02" name="Picture 145" descr="http://www.conermex.com.mx/images/pdf-opt-gris.png">
          <a:extLst>
            <a:ext uri="{FF2B5EF4-FFF2-40B4-BE49-F238E27FC236}">
              <a16:creationId xmlns:a16="http://schemas.microsoft.com/office/drawing/2014/main" id="{00000000-0008-0000-0000-0000D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03" name="Picture 146" descr="http://www.conermex.com.mx/images/pdf-opt-gris.png">
          <a:extLst>
            <a:ext uri="{FF2B5EF4-FFF2-40B4-BE49-F238E27FC236}">
              <a16:creationId xmlns:a16="http://schemas.microsoft.com/office/drawing/2014/main" id="{00000000-0008-0000-0000-0000D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04" name="Picture 147" descr="http://www.conermex.com.mx/images/pdf-opt-gris.png">
          <a:extLst>
            <a:ext uri="{FF2B5EF4-FFF2-40B4-BE49-F238E27FC236}">
              <a16:creationId xmlns:a16="http://schemas.microsoft.com/office/drawing/2014/main" id="{00000000-0008-0000-0000-0000D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05" name="Picture 148" descr="http://www.conermex.com.mx/images/pdf-opt-gris.png">
          <a:extLst>
            <a:ext uri="{FF2B5EF4-FFF2-40B4-BE49-F238E27FC236}">
              <a16:creationId xmlns:a16="http://schemas.microsoft.com/office/drawing/2014/main" id="{00000000-0008-0000-0000-0000E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06" name="Picture 149" descr="http://www.conermex.com.mx/images/pdf-opt-gris.png">
          <a:extLst>
            <a:ext uri="{FF2B5EF4-FFF2-40B4-BE49-F238E27FC236}">
              <a16:creationId xmlns:a16="http://schemas.microsoft.com/office/drawing/2014/main" id="{00000000-0008-0000-0000-0000E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07" name="Picture 150" descr="http://www.conermex.com.mx/images/pdf-opt-gris.png">
          <a:extLst>
            <a:ext uri="{FF2B5EF4-FFF2-40B4-BE49-F238E27FC236}">
              <a16:creationId xmlns:a16="http://schemas.microsoft.com/office/drawing/2014/main" id="{00000000-0008-0000-0000-0000E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08" name="Picture 151" descr="http://www.conermex.com.mx/images/pdf-opt-gris.png">
          <a:extLst>
            <a:ext uri="{FF2B5EF4-FFF2-40B4-BE49-F238E27FC236}">
              <a16:creationId xmlns:a16="http://schemas.microsoft.com/office/drawing/2014/main" id="{00000000-0008-0000-0000-0000E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09" name="Picture 152" descr="http://www.conermex.com.mx/images/pdf-opt-gris.png">
          <a:extLst>
            <a:ext uri="{FF2B5EF4-FFF2-40B4-BE49-F238E27FC236}">
              <a16:creationId xmlns:a16="http://schemas.microsoft.com/office/drawing/2014/main" id="{00000000-0008-0000-0000-0000E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10" name="Picture 153" descr="http://www.conermex.com.mx/images/pdf-opt-gris.png">
          <a:extLst>
            <a:ext uri="{FF2B5EF4-FFF2-40B4-BE49-F238E27FC236}">
              <a16:creationId xmlns:a16="http://schemas.microsoft.com/office/drawing/2014/main" id="{00000000-0008-0000-0000-0000E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11" name="Picture 154" descr="http://www.conermex.com.mx/images/pdf-opt-gris.png">
          <a:extLst>
            <a:ext uri="{FF2B5EF4-FFF2-40B4-BE49-F238E27FC236}">
              <a16:creationId xmlns:a16="http://schemas.microsoft.com/office/drawing/2014/main" id="{00000000-0008-0000-0000-0000E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12" name="Picture 155" descr="http://www.conermex.com.mx/images/pdf-opt-gris.png">
          <a:extLst>
            <a:ext uri="{FF2B5EF4-FFF2-40B4-BE49-F238E27FC236}">
              <a16:creationId xmlns:a16="http://schemas.microsoft.com/office/drawing/2014/main" id="{00000000-0008-0000-0000-0000E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13" name="Picture 156" descr="http://www.conermex.com.mx/images/pdf-opt-gris.png">
          <a:extLst>
            <a:ext uri="{FF2B5EF4-FFF2-40B4-BE49-F238E27FC236}">
              <a16:creationId xmlns:a16="http://schemas.microsoft.com/office/drawing/2014/main" id="{00000000-0008-0000-0000-0000E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14" name="Picture 157" descr="http://www.conermex.com.mx/images/pdf-opt-gris.png">
          <a:extLst>
            <a:ext uri="{FF2B5EF4-FFF2-40B4-BE49-F238E27FC236}">
              <a16:creationId xmlns:a16="http://schemas.microsoft.com/office/drawing/2014/main" id="{00000000-0008-0000-0000-0000E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15" name="Picture 158" descr="http://www.conermex.com.mx/images/pdf-opt-gris.png">
          <a:extLst>
            <a:ext uri="{FF2B5EF4-FFF2-40B4-BE49-F238E27FC236}">
              <a16:creationId xmlns:a16="http://schemas.microsoft.com/office/drawing/2014/main" id="{00000000-0008-0000-0000-0000E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16" name="Picture 159" descr="http://www.conermex.com.mx/images/pdf-opt-gris.png">
          <a:extLst>
            <a:ext uri="{FF2B5EF4-FFF2-40B4-BE49-F238E27FC236}">
              <a16:creationId xmlns:a16="http://schemas.microsoft.com/office/drawing/2014/main" id="{00000000-0008-0000-0000-0000E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17" name="Picture 160" descr="http://www.conermex.com.mx/images/pdf-opt-gris.png">
          <a:extLst>
            <a:ext uri="{FF2B5EF4-FFF2-40B4-BE49-F238E27FC236}">
              <a16:creationId xmlns:a16="http://schemas.microsoft.com/office/drawing/2014/main" id="{00000000-0008-0000-0000-0000E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18" name="Picture 161" descr="http://www.conermex.com.mx/images/pdf-opt-gris.png">
          <a:extLst>
            <a:ext uri="{FF2B5EF4-FFF2-40B4-BE49-F238E27FC236}">
              <a16:creationId xmlns:a16="http://schemas.microsoft.com/office/drawing/2014/main" id="{00000000-0008-0000-0000-0000E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19" name="Picture 162" descr="http://www.conermex.com.mx/images/pdf-opt-gris.png">
          <a:extLst>
            <a:ext uri="{FF2B5EF4-FFF2-40B4-BE49-F238E27FC236}">
              <a16:creationId xmlns:a16="http://schemas.microsoft.com/office/drawing/2014/main" id="{00000000-0008-0000-0000-0000E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20" name="Picture 163" descr="http://www.conermex.com.mx/images/pdf-opt-gris.png">
          <a:extLst>
            <a:ext uri="{FF2B5EF4-FFF2-40B4-BE49-F238E27FC236}">
              <a16:creationId xmlns:a16="http://schemas.microsoft.com/office/drawing/2014/main" id="{00000000-0008-0000-0000-0000E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21" name="Picture 164" descr="http://www.conermex.com.mx/images/pdf-opt-gris.png">
          <a:extLst>
            <a:ext uri="{FF2B5EF4-FFF2-40B4-BE49-F238E27FC236}">
              <a16:creationId xmlns:a16="http://schemas.microsoft.com/office/drawing/2014/main" id="{00000000-0008-0000-0000-0000F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22" name="Picture 165" descr="http://www.conermex.com.mx/images/pdf-opt-gris.png">
          <a:extLst>
            <a:ext uri="{FF2B5EF4-FFF2-40B4-BE49-F238E27FC236}">
              <a16:creationId xmlns:a16="http://schemas.microsoft.com/office/drawing/2014/main" id="{00000000-0008-0000-0000-0000F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23" name="Picture 166" descr="http://www.conermex.com.mx/images/pdf-opt-gris.png">
          <a:extLst>
            <a:ext uri="{FF2B5EF4-FFF2-40B4-BE49-F238E27FC236}">
              <a16:creationId xmlns:a16="http://schemas.microsoft.com/office/drawing/2014/main" id="{00000000-0008-0000-0000-0000F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24" name="Picture 167" descr="http://www.conermex.com.mx/images/pdf-opt-gris.png">
          <a:extLst>
            <a:ext uri="{FF2B5EF4-FFF2-40B4-BE49-F238E27FC236}">
              <a16:creationId xmlns:a16="http://schemas.microsoft.com/office/drawing/2014/main" id="{00000000-0008-0000-0000-0000F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25" name="Picture 168" descr="http://www.conermex.com.mx/images/pdf-opt-gris.png">
          <a:extLst>
            <a:ext uri="{FF2B5EF4-FFF2-40B4-BE49-F238E27FC236}">
              <a16:creationId xmlns:a16="http://schemas.microsoft.com/office/drawing/2014/main" id="{00000000-0008-0000-0000-0000F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26" name="Picture 169" descr="http://www.conermex.com.mx/images/pdf-opt-gris.png">
          <a:extLst>
            <a:ext uri="{FF2B5EF4-FFF2-40B4-BE49-F238E27FC236}">
              <a16:creationId xmlns:a16="http://schemas.microsoft.com/office/drawing/2014/main" id="{00000000-0008-0000-0000-0000F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27" name="Picture 170" descr="http://www.conermex.com.mx/images/pdf-opt-gris.png">
          <a:extLst>
            <a:ext uri="{FF2B5EF4-FFF2-40B4-BE49-F238E27FC236}">
              <a16:creationId xmlns:a16="http://schemas.microsoft.com/office/drawing/2014/main" id="{00000000-0008-0000-0000-0000F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28" name="Picture 171" descr="http://www.conermex.com.mx/images/pdf-opt-gris.png">
          <a:extLst>
            <a:ext uri="{FF2B5EF4-FFF2-40B4-BE49-F238E27FC236}">
              <a16:creationId xmlns:a16="http://schemas.microsoft.com/office/drawing/2014/main" id="{00000000-0008-0000-0000-0000F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29" name="Picture 172" descr="http://www.conermex.com.mx/images/pdf-opt-gris.png">
          <a:extLst>
            <a:ext uri="{FF2B5EF4-FFF2-40B4-BE49-F238E27FC236}">
              <a16:creationId xmlns:a16="http://schemas.microsoft.com/office/drawing/2014/main" id="{00000000-0008-0000-0000-0000F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30" name="Picture 173" descr="http://www.conermex.com.mx/images/pdf-opt-gris.png">
          <a:extLst>
            <a:ext uri="{FF2B5EF4-FFF2-40B4-BE49-F238E27FC236}">
              <a16:creationId xmlns:a16="http://schemas.microsoft.com/office/drawing/2014/main" id="{00000000-0008-0000-0000-0000F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31" name="Picture 174" descr="http://www.conermex.com.mx/images/pdf-opt-gris.png">
          <a:extLst>
            <a:ext uri="{FF2B5EF4-FFF2-40B4-BE49-F238E27FC236}">
              <a16:creationId xmlns:a16="http://schemas.microsoft.com/office/drawing/2014/main" id="{00000000-0008-0000-0000-0000F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32" name="Picture 175" descr="http://www.conermex.com.mx/images/pdf-opt-gris.png">
          <a:extLst>
            <a:ext uri="{FF2B5EF4-FFF2-40B4-BE49-F238E27FC236}">
              <a16:creationId xmlns:a16="http://schemas.microsoft.com/office/drawing/2014/main" id="{00000000-0008-0000-0000-0000F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33" name="Picture 176" descr="http://www.conermex.com.mx/images/pdf-opt-gris.png">
          <a:extLst>
            <a:ext uri="{FF2B5EF4-FFF2-40B4-BE49-F238E27FC236}">
              <a16:creationId xmlns:a16="http://schemas.microsoft.com/office/drawing/2014/main" id="{00000000-0008-0000-0000-0000F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34" name="Picture 177" descr="http://www.conermex.com.mx/images/pdf-opt-gris.png">
          <a:extLst>
            <a:ext uri="{FF2B5EF4-FFF2-40B4-BE49-F238E27FC236}">
              <a16:creationId xmlns:a16="http://schemas.microsoft.com/office/drawing/2014/main" id="{00000000-0008-0000-0000-0000F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35" name="Picture 178" descr="http://www.conermex.com.mx/images/pdf-opt-gris.png">
          <a:extLst>
            <a:ext uri="{FF2B5EF4-FFF2-40B4-BE49-F238E27FC236}">
              <a16:creationId xmlns:a16="http://schemas.microsoft.com/office/drawing/2014/main" id="{00000000-0008-0000-0000-0000F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36" name="Picture 179" descr="http://www.conermex.com.mx/images/pdf-opt-gris.png">
          <a:extLst>
            <a:ext uri="{FF2B5EF4-FFF2-40B4-BE49-F238E27FC236}">
              <a16:creationId xmlns:a16="http://schemas.microsoft.com/office/drawing/2014/main" id="{00000000-0008-0000-0000-0000F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37" name="Picture 180" descr="http://www.conermex.com.mx/images/pdf-opt-gris.png">
          <a:extLst>
            <a:ext uri="{FF2B5EF4-FFF2-40B4-BE49-F238E27FC236}">
              <a16:creationId xmlns:a16="http://schemas.microsoft.com/office/drawing/2014/main" id="{00000000-0008-0000-0000-000000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38" name="Picture 181" descr="http://www.conermex.com.mx/images/pdf-opt-gris.png">
          <a:extLst>
            <a:ext uri="{FF2B5EF4-FFF2-40B4-BE49-F238E27FC236}">
              <a16:creationId xmlns:a16="http://schemas.microsoft.com/office/drawing/2014/main" id="{00000000-0008-0000-0000-000001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39" name="Picture 182" descr="http://www.conermex.com.mx/images/pdf-opt-gris.png">
          <a:extLst>
            <a:ext uri="{FF2B5EF4-FFF2-40B4-BE49-F238E27FC236}">
              <a16:creationId xmlns:a16="http://schemas.microsoft.com/office/drawing/2014/main" id="{00000000-0008-0000-0000-000002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40" name="Picture 183" descr="http://www.conermex.com.mx/images/pdf-opt-gris.png">
          <a:extLst>
            <a:ext uri="{FF2B5EF4-FFF2-40B4-BE49-F238E27FC236}">
              <a16:creationId xmlns:a16="http://schemas.microsoft.com/office/drawing/2014/main" id="{00000000-0008-0000-0000-000003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41" name="Picture 184" descr="http://www.conermex.com.mx/images/pdf-opt-gris.png">
          <a:extLst>
            <a:ext uri="{FF2B5EF4-FFF2-40B4-BE49-F238E27FC236}">
              <a16:creationId xmlns:a16="http://schemas.microsoft.com/office/drawing/2014/main" id="{00000000-0008-0000-0000-000004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42" name="Picture 185" descr="http://www.conermex.com.mx/images/pdf-opt-gris.png">
          <a:extLst>
            <a:ext uri="{FF2B5EF4-FFF2-40B4-BE49-F238E27FC236}">
              <a16:creationId xmlns:a16="http://schemas.microsoft.com/office/drawing/2014/main" id="{00000000-0008-0000-0000-000005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43" name="Picture 186" descr="http://www.conermex.com.mx/images/pdf-opt-gris.png">
          <a:extLst>
            <a:ext uri="{FF2B5EF4-FFF2-40B4-BE49-F238E27FC236}">
              <a16:creationId xmlns:a16="http://schemas.microsoft.com/office/drawing/2014/main" id="{00000000-0008-0000-0000-000006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44" name="Picture 187" descr="http://www.conermex.com.mx/images/pdf-opt-gris.png">
          <a:extLst>
            <a:ext uri="{FF2B5EF4-FFF2-40B4-BE49-F238E27FC236}">
              <a16:creationId xmlns:a16="http://schemas.microsoft.com/office/drawing/2014/main" id="{00000000-0008-0000-0000-000007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45" name="Picture 188" descr="http://www.conermex.com.mx/images/pdf-opt-gris.png">
          <a:extLst>
            <a:ext uri="{FF2B5EF4-FFF2-40B4-BE49-F238E27FC236}">
              <a16:creationId xmlns:a16="http://schemas.microsoft.com/office/drawing/2014/main" id="{00000000-0008-0000-0000-000008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46" name="Picture 189" descr="http://www.conermex.com.mx/images/pdf-opt-gris.png">
          <a:extLst>
            <a:ext uri="{FF2B5EF4-FFF2-40B4-BE49-F238E27FC236}">
              <a16:creationId xmlns:a16="http://schemas.microsoft.com/office/drawing/2014/main" id="{00000000-0008-0000-0000-000009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47" name="Picture 190" descr="http://www.conermex.com.mx/images/pdf-opt-gris.png">
          <a:extLst>
            <a:ext uri="{FF2B5EF4-FFF2-40B4-BE49-F238E27FC236}">
              <a16:creationId xmlns:a16="http://schemas.microsoft.com/office/drawing/2014/main" id="{00000000-0008-0000-0000-00000A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48" name="Picture 191" descr="http://www.conermex.com.mx/images/pdf-opt-gris.png">
          <a:extLst>
            <a:ext uri="{FF2B5EF4-FFF2-40B4-BE49-F238E27FC236}">
              <a16:creationId xmlns:a16="http://schemas.microsoft.com/office/drawing/2014/main" id="{00000000-0008-0000-0000-00000B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49" name="Picture 192" descr="http://www.conermex.com.mx/images/pdf-opt-gris.png">
          <a:extLst>
            <a:ext uri="{FF2B5EF4-FFF2-40B4-BE49-F238E27FC236}">
              <a16:creationId xmlns:a16="http://schemas.microsoft.com/office/drawing/2014/main" id="{00000000-0008-0000-0000-00000C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50" name="Picture 193" descr="http://www.conermex.com.mx/images/pdf-opt-gris.png">
          <a:extLst>
            <a:ext uri="{FF2B5EF4-FFF2-40B4-BE49-F238E27FC236}">
              <a16:creationId xmlns:a16="http://schemas.microsoft.com/office/drawing/2014/main" id="{00000000-0008-0000-0000-00000D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51" name="Picture 194" descr="http://www.conermex.com.mx/images/pdf-opt-gris.png">
          <a:extLst>
            <a:ext uri="{FF2B5EF4-FFF2-40B4-BE49-F238E27FC236}">
              <a16:creationId xmlns:a16="http://schemas.microsoft.com/office/drawing/2014/main" id="{00000000-0008-0000-0000-00000E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52" name="Picture 195" descr="http://www.conermex.com.mx/images/pdf-opt-gris.png">
          <a:extLst>
            <a:ext uri="{FF2B5EF4-FFF2-40B4-BE49-F238E27FC236}">
              <a16:creationId xmlns:a16="http://schemas.microsoft.com/office/drawing/2014/main" id="{00000000-0008-0000-0000-00000F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53" name="Picture 196" descr="http://www.conermex.com.mx/images/pdf-opt-gris.png">
          <a:extLst>
            <a:ext uri="{FF2B5EF4-FFF2-40B4-BE49-F238E27FC236}">
              <a16:creationId xmlns:a16="http://schemas.microsoft.com/office/drawing/2014/main" id="{00000000-0008-0000-0000-000010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54" name="Picture 197" descr="http://www.conermex.com.mx/images/pdf-opt-gris.png">
          <a:extLst>
            <a:ext uri="{FF2B5EF4-FFF2-40B4-BE49-F238E27FC236}">
              <a16:creationId xmlns:a16="http://schemas.microsoft.com/office/drawing/2014/main" id="{00000000-0008-0000-0000-000011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55" name="Picture 198" descr="http://www.conermex.com.mx/images/pdf-opt-gris.png">
          <a:extLst>
            <a:ext uri="{FF2B5EF4-FFF2-40B4-BE49-F238E27FC236}">
              <a16:creationId xmlns:a16="http://schemas.microsoft.com/office/drawing/2014/main" id="{00000000-0008-0000-0000-000012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56" name="Picture 199" descr="http://www.conermex.com.mx/images/pdf-opt-gris.png">
          <a:extLst>
            <a:ext uri="{FF2B5EF4-FFF2-40B4-BE49-F238E27FC236}">
              <a16:creationId xmlns:a16="http://schemas.microsoft.com/office/drawing/2014/main" id="{00000000-0008-0000-0000-000013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57" name="Picture 200" descr="http://www.conermex.com.mx/images/pdf-opt-gris.png">
          <a:extLst>
            <a:ext uri="{FF2B5EF4-FFF2-40B4-BE49-F238E27FC236}">
              <a16:creationId xmlns:a16="http://schemas.microsoft.com/office/drawing/2014/main" id="{00000000-0008-0000-0000-000014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58" name="Picture 201" descr="http://www.conermex.com.mx/images/pdf-opt-gris.png">
          <a:extLst>
            <a:ext uri="{FF2B5EF4-FFF2-40B4-BE49-F238E27FC236}">
              <a16:creationId xmlns:a16="http://schemas.microsoft.com/office/drawing/2014/main" id="{00000000-0008-0000-0000-000015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59" name="Picture 202" descr="http://www.conermex.com.mx/images/pdf-opt-gris.png">
          <a:extLst>
            <a:ext uri="{FF2B5EF4-FFF2-40B4-BE49-F238E27FC236}">
              <a16:creationId xmlns:a16="http://schemas.microsoft.com/office/drawing/2014/main" id="{00000000-0008-0000-0000-000016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60" name="Picture 203" descr="http://www.conermex.com.mx/images/pdf-opt-gris.png">
          <a:extLst>
            <a:ext uri="{FF2B5EF4-FFF2-40B4-BE49-F238E27FC236}">
              <a16:creationId xmlns:a16="http://schemas.microsoft.com/office/drawing/2014/main" id="{00000000-0008-0000-0000-000017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61" name="Picture 204" descr="http://www.conermex.com.mx/images/pdf-opt-gris.png">
          <a:extLst>
            <a:ext uri="{FF2B5EF4-FFF2-40B4-BE49-F238E27FC236}">
              <a16:creationId xmlns:a16="http://schemas.microsoft.com/office/drawing/2014/main" id="{00000000-0008-0000-0000-000018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62" name="Picture 205" descr="http://www.conermex.com.mx/images/pdf-opt-gris.png">
          <a:extLst>
            <a:ext uri="{FF2B5EF4-FFF2-40B4-BE49-F238E27FC236}">
              <a16:creationId xmlns:a16="http://schemas.microsoft.com/office/drawing/2014/main" id="{00000000-0008-0000-0000-000019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63" name="Picture 206" descr="http://www.conermex.com.mx/images/pdf-opt-gris.png">
          <a:extLst>
            <a:ext uri="{FF2B5EF4-FFF2-40B4-BE49-F238E27FC236}">
              <a16:creationId xmlns:a16="http://schemas.microsoft.com/office/drawing/2014/main" id="{00000000-0008-0000-0000-00001A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64" name="Picture 207" descr="http://www.conermex.com.mx/images/pdf-opt-gris.png">
          <a:extLst>
            <a:ext uri="{FF2B5EF4-FFF2-40B4-BE49-F238E27FC236}">
              <a16:creationId xmlns:a16="http://schemas.microsoft.com/office/drawing/2014/main" id="{00000000-0008-0000-0000-00001B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65" name="Picture 208" descr="http://www.conermex.com.mx/images/pdf-opt-gris.png">
          <a:extLst>
            <a:ext uri="{FF2B5EF4-FFF2-40B4-BE49-F238E27FC236}">
              <a16:creationId xmlns:a16="http://schemas.microsoft.com/office/drawing/2014/main" id="{00000000-0008-0000-0000-00001C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66" name="Picture 209" descr="http://www.conermex.com.mx/images/pdf-opt-gris.png">
          <a:extLst>
            <a:ext uri="{FF2B5EF4-FFF2-40B4-BE49-F238E27FC236}">
              <a16:creationId xmlns:a16="http://schemas.microsoft.com/office/drawing/2014/main" id="{00000000-0008-0000-0000-00001D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67" name="Picture 210" descr="http://www.conermex.com.mx/images/pdf-opt-gris.png">
          <a:extLst>
            <a:ext uri="{FF2B5EF4-FFF2-40B4-BE49-F238E27FC236}">
              <a16:creationId xmlns:a16="http://schemas.microsoft.com/office/drawing/2014/main" id="{00000000-0008-0000-0000-00001E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68" name="Picture 211" descr="http://www.conermex.com.mx/images/pdf-opt-gris.png">
          <a:extLst>
            <a:ext uri="{FF2B5EF4-FFF2-40B4-BE49-F238E27FC236}">
              <a16:creationId xmlns:a16="http://schemas.microsoft.com/office/drawing/2014/main" id="{00000000-0008-0000-0000-00001F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69" name="Picture 212" descr="http://www.conermex.com.mx/images/pdf-opt-gris.png">
          <a:extLst>
            <a:ext uri="{FF2B5EF4-FFF2-40B4-BE49-F238E27FC236}">
              <a16:creationId xmlns:a16="http://schemas.microsoft.com/office/drawing/2014/main" id="{00000000-0008-0000-0000-000020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70" name="Picture 213" descr="http://www.conermex.com.mx/images/pdf-opt-gris.png">
          <a:extLst>
            <a:ext uri="{FF2B5EF4-FFF2-40B4-BE49-F238E27FC236}">
              <a16:creationId xmlns:a16="http://schemas.microsoft.com/office/drawing/2014/main" id="{00000000-0008-0000-0000-000021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71" name="Picture 214" descr="http://www.conermex.com.mx/images/pdf-opt-gris.png">
          <a:extLst>
            <a:ext uri="{FF2B5EF4-FFF2-40B4-BE49-F238E27FC236}">
              <a16:creationId xmlns:a16="http://schemas.microsoft.com/office/drawing/2014/main" id="{00000000-0008-0000-0000-000022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72" name="Picture 215" descr="http://www.conermex.com.mx/images/pdf-opt-gris.png">
          <a:extLst>
            <a:ext uri="{FF2B5EF4-FFF2-40B4-BE49-F238E27FC236}">
              <a16:creationId xmlns:a16="http://schemas.microsoft.com/office/drawing/2014/main" id="{00000000-0008-0000-0000-000023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73" name="Picture 216" descr="http://www.conermex.com.mx/images/pdf-opt-gris.png">
          <a:extLst>
            <a:ext uri="{FF2B5EF4-FFF2-40B4-BE49-F238E27FC236}">
              <a16:creationId xmlns:a16="http://schemas.microsoft.com/office/drawing/2014/main" id="{00000000-0008-0000-0000-000024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74" name="Picture 217" descr="http://www.conermex.com.mx/images/pdf-opt-gris.png">
          <a:extLst>
            <a:ext uri="{FF2B5EF4-FFF2-40B4-BE49-F238E27FC236}">
              <a16:creationId xmlns:a16="http://schemas.microsoft.com/office/drawing/2014/main" id="{00000000-0008-0000-0000-000025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75" name="Picture 218" descr="http://www.conermex.com.mx/images/pdf-opt-gris.png">
          <a:extLst>
            <a:ext uri="{FF2B5EF4-FFF2-40B4-BE49-F238E27FC236}">
              <a16:creationId xmlns:a16="http://schemas.microsoft.com/office/drawing/2014/main" id="{00000000-0008-0000-0000-000026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76" name="Picture 219" descr="http://www.conermex.com.mx/images/pdf-opt-gris.png">
          <a:extLst>
            <a:ext uri="{FF2B5EF4-FFF2-40B4-BE49-F238E27FC236}">
              <a16:creationId xmlns:a16="http://schemas.microsoft.com/office/drawing/2014/main" id="{00000000-0008-0000-0000-000027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77" name="Picture 220" descr="http://www.conermex.com.mx/images/pdf-opt-gris.png">
          <a:extLst>
            <a:ext uri="{FF2B5EF4-FFF2-40B4-BE49-F238E27FC236}">
              <a16:creationId xmlns:a16="http://schemas.microsoft.com/office/drawing/2014/main" id="{00000000-0008-0000-0000-000028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78" name="Picture 221" descr="http://www.conermex.com.mx/images/pdf-opt-gris.png">
          <a:extLst>
            <a:ext uri="{FF2B5EF4-FFF2-40B4-BE49-F238E27FC236}">
              <a16:creationId xmlns:a16="http://schemas.microsoft.com/office/drawing/2014/main" id="{00000000-0008-0000-0000-000029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79" name="Picture 222" descr="http://www.conermex.com.mx/images/pdf-opt-gris.png">
          <a:extLst>
            <a:ext uri="{FF2B5EF4-FFF2-40B4-BE49-F238E27FC236}">
              <a16:creationId xmlns:a16="http://schemas.microsoft.com/office/drawing/2014/main" id="{00000000-0008-0000-0000-00002A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80" name="Picture 223" descr="http://www.conermex.com.mx/images/pdf-opt-gris.png">
          <a:extLst>
            <a:ext uri="{FF2B5EF4-FFF2-40B4-BE49-F238E27FC236}">
              <a16:creationId xmlns:a16="http://schemas.microsoft.com/office/drawing/2014/main" id="{00000000-0008-0000-0000-00002B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81" name="Picture 224" descr="http://www.conermex.com.mx/images/pdf-opt-gris.png">
          <a:extLst>
            <a:ext uri="{FF2B5EF4-FFF2-40B4-BE49-F238E27FC236}">
              <a16:creationId xmlns:a16="http://schemas.microsoft.com/office/drawing/2014/main" id="{00000000-0008-0000-0000-00002C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82" name="Picture 225" descr="http://www.conermex.com.mx/images/pdf-opt-gris.png">
          <a:extLst>
            <a:ext uri="{FF2B5EF4-FFF2-40B4-BE49-F238E27FC236}">
              <a16:creationId xmlns:a16="http://schemas.microsoft.com/office/drawing/2014/main" id="{00000000-0008-0000-0000-00002D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83" name="Picture 226" descr="http://www.conermex.com.mx/images/pdf-opt-gris.png">
          <a:extLst>
            <a:ext uri="{FF2B5EF4-FFF2-40B4-BE49-F238E27FC236}">
              <a16:creationId xmlns:a16="http://schemas.microsoft.com/office/drawing/2014/main" id="{00000000-0008-0000-0000-00002E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84" name="Picture 227" descr="http://www.conermex.com.mx/images/pdf-opt-gris.png">
          <a:extLst>
            <a:ext uri="{FF2B5EF4-FFF2-40B4-BE49-F238E27FC236}">
              <a16:creationId xmlns:a16="http://schemas.microsoft.com/office/drawing/2014/main" id="{00000000-0008-0000-0000-00002F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85" name="Picture 228" descr="http://www.conermex.com.mx/images/pdf-opt-gris.png">
          <a:extLst>
            <a:ext uri="{FF2B5EF4-FFF2-40B4-BE49-F238E27FC236}">
              <a16:creationId xmlns:a16="http://schemas.microsoft.com/office/drawing/2014/main" id="{00000000-0008-0000-0000-000030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86" name="Picture 229" descr="http://www.conermex.com.mx/images/pdf-opt-gris.png">
          <a:extLst>
            <a:ext uri="{FF2B5EF4-FFF2-40B4-BE49-F238E27FC236}">
              <a16:creationId xmlns:a16="http://schemas.microsoft.com/office/drawing/2014/main" id="{00000000-0008-0000-0000-000031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87" name="Picture 230" descr="http://www.conermex.com.mx/images/pdf-opt-gris.png">
          <a:extLst>
            <a:ext uri="{FF2B5EF4-FFF2-40B4-BE49-F238E27FC236}">
              <a16:creationId xmlns:a16="http://schemas.microsoft.com/office/drawing/2014/main" id="{00000000-0008-0000-0000-000032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88" name="Picture 231" descr="http://www.conermex.com.mx/images/pdf-opt-gris.png">
          <a:extLst>
            <a:ext uri="{FF2B5EF4-FFF2-40B4-BE49-F238E27FC236}">
              <a16:creationId xmlns:a16="http://schemas.microsoft.com/office/drawing/2014/main" id="{00000000-0008-0000-0000-000033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89" name="Picture 232" descr="http://www.conermex.com.mx/images/pdf-opt-gris.png">
          <a:extLst>
            <a:ext uri="{FF2B5EF4-FFF2-40B4-BE49-F238E27FC236}">
              <a16:creationId xmlns:a16="http://schemas.microsoft.com/office/drawing/2014/main" id="{00000000-0008-0000-0000-000034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90" name="Picture 233" descr="http://www.conermex.com.mx/images/pdf-opt-gris.png">
          <a:extLst>
            <a:ext uri="{FF2B5EF4-FFF2-40B4-BE49-F238E27FC236}">
              <a16:creationId xmlns:a16="http://schemas.microsoft.com/office/drawing/2014/main" id="{00000000-0008-0000-0000-000035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twoCellAnchor editAs="oneCell">
    <xdr:from>
      <xdr:col>1</xdr:col>
      <xdr:colOff>0</xdr:colOff>
      <xdr:row>7</xdr:row>
      <xdr:rowOff>0</xdr:rowOff>
    </xdr:from>
    <xdr:to>
      <xdr:col>1</xdr:col>
      <xdr:colOff>285750</xdr:colOff>
      <xdr:row>7</xdr:row>
      <xdr:rowOff>275915</xdr:rowOff>
    </xdr:to>
    <xdr:pic>
      <xdr:nvPicPr>
        <xdr:cNvPr id="391" name="Picture 234" descr="http://www.conermex.com.mx/images/pdf-opt-gris.png">
          <a:extLst>
            <a:ext uri="{FF2B5EF4-FFF2-40B4-BE49-F238E27FC236}">
              <a16:creationId xmlns:a16="http://schemas.microsoft.com/office/drawing/2014/main" id="{00000000-0008-0000-0000-000036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571750" y="64446150"/>
          <a:ext cx="285750" cy="275915"/>
        </a:xfrm>
        <a:prstGeom prst="rect">
          <a:avLst/>
        </a:prstGeom>
        <a:noFill/>
      </xdr:spPr>
    </xdr:pic>
    <xdr:clientData/>
  </xdr:twoCellAnchor>
</xdr:wsDr>
</file>

<file path=xl/drawings/drawing5.xml><?xml version="1.0" encoding="utf-8"?>
<xdr:wsDr xmlns:xdr="http://schemas.openxmlformats.org/drawingml/2006/spreadsheetDrawing" xmlns:a="http://schemas.openxmlformats.org/drawingml/2006/main">
  <xdr:oneCellAnchor>
    <xdr:from>
      <xdr:col>0</xdr:col>
      <xdr:colOff>0</xdr:colOff>
      <xdr:row>0</xdr:row>
      <xdr:rowOff>0</xdr:rowOff>
    </xdr:from>
    <xdr:ext cx="285750" cy="275915"/>
    <xdr:pic>
      <xdr:nvPicPr>
        <xdr:cNvPr id="2" name="Picture 123" descr="http://www.conermex.com.mx/images/pdf-opt-gris.png">
          <a:extLst>
            <a:ext uri="{FF2B5EF4-FFF2-40B4-BE49-F238E27FC236}">
              <a16:creationId xmlns:a16="http://schemas.microsoft.com/office/drawing/2014/main" id="{00000000-0008-0000-0000-0000A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3" name="Picture 124" descr="http://www.conermex.com.mx/images/pdf-opt-gris.png">
          <a:extLst>
            <a:ext uri="{FF2B5EF4-FFF2-40B4-BE49-F238E27FC236}">
              <a16:creationId xmlns:a16="http://schemas.microsoft.com/office/drawing/2014/main" id="{00000000-0008-0000-0000-0000B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4" name="Picture 125"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B1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5" name="Picture 126"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B2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6" name="Picture 127"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B3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7" name="Picture 128"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B4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8" name="Picture 129" descr="http://www.conermex.com.mx/images/pdf-opt-gris.png">
          <a:extLst>
            <a:ext uri="{FF2B5EF4-FFF2-40B4-BE49-F238E27FC236}">
              <a16:creationId xmlns:a16="http://schemas.microsoft.com/office/drawing/2014/main" id="{00000000-0008-0000-0000-0000B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9" name="Picture 130"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B6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0" name="Picture 131"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B7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1" name="Picture 132"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B8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2" name="Picture 133"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B9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3" name="Picture 134" descr="http://www.conermex.com.mx/images/pdf-opt.png">
          <a:hlinkClick xmlns:r="http://schemas.openxmlformats.org/officeDocument/2006/relationships" r:id="rId5" tgtFrame="_blank"/>
          <a:extLst>
            <a:ext uri="{FF2B5EF4-FFF2-40B4-BE49-F238E27FC236}">
              <a16:creationId xmlns:a16="http://schemas.microsoft.com/office/drawing/2014/main" id="{00000000-0008-0000-0000-0000BA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4" name="Picture 135" descr="http://www.conermex.com.mx/images/pdf-opt.png">
          <a:hlinkClick xmlns:r="http://schemas.openxmlformats.org/officeDocument/2006/relationships" r:id="rId5" tgtFrame="_blank"/>
          <a:extLst>
            <a:ext uri="{FF2B5EF4-FFF2-40B4-BE49-F238E27FC236}">
              <a16:creationId xmlns:a16="http://schemas.microsoft.com/office/drawing/2014/main" id="{00000000-0008-0000-0000-0000BB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5" name="Picture 136"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BC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6" name="Picture 137"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BD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7" name="Picture 138"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BE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8" name="Picture 139"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BF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9" name="Picture 140"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C0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20" name="Picture 141"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C1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21" name="Picture 142"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C2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22" name="Picture 143" descr="http://www.conermex.com.mx/images/pdf-opt.png">
          <a:hlinkClick xmlns:r="http://schemas.openxmlformats.org/officeDocument/2006/relationships" r:id="rId8" tgtFrame="_blank"/>
          <a:extLst>
            <a:ext uri="{FF2B5EF4-FFF2-40B4-BE49-F238E27FC236}">
              <a16:creationId xmlns:a16="http://schemas.microsoft.com/office/drawing/2014/main" id="{00000000-0008-0000-0000-0000C3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23" name="Picture 144" descr="http://www.conermex.com.mx/images/pdf-opt.png">
          <a:hlinkClick xmlns:r="http://schemas.openxmlformats.org/officeDocument/2006/relationships" r:id="rId9" tgtFrame="_blank"/>
          <a:extLst>
            <a:ext uri="{FF2B5EF4-FFF2-40B4-BE49-F238E27FC236}">
              <a16:creationId xmlns:a16="http://schemas.microsoft.com/office/drawing/2014/main" id="{00000000-0008-0000-0000-0000C4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24" name="Picture 145" descr="http://www.conermex.com.mx/images/pdf-opt-gris.png">
          <a:extLst>
            <a:ext uri="{FF2B5EF4-FFF2-40B4-BE49-F238E27FC236}">
              <a16:creationId xmlns:a16="http://schemas.microsoft.com/office/drawing/2014/main" id="{00000000-0008-0000-0000-0000C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25" name="Picture 146" descr="http://www.conermex.com.mx/images/pdf-opt-gris.png">
          <a:extLst>
            <a:ext uri="{FF2B5EF4-FFF2-40B4-BE49-F238E27FC236}">
              <a16:creationId xmlns:a16="http://schemas.microsoft.com/office/drawing/2014/main" id="{00000000-0008-0000-0000-0000C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26" name="Picture 147" descr="http://www.conermex.com.mx/images/pdf-opt-gris.png">
          <a:extLst>
            <a:ext uri="{FF2B5EF4-FFF2-40B4-BE49-F238E27FC236}">
              <a16:creationId xmlns:a16="http://schemas.microsoft.com/office/drawing/2014/main" id="{00000000-0008-0000-0000-0000C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27" name="Picture 148" descr="http://www.conermex.com.mx/images/pdf-opt-gris.png">
          <a:extLst>
            <a:ext uri="{FF2B5EF4-FFF2-40B4-BE49-F238E27FC236}">
              <a16:creationId xmlns:a16="http://schemas.microsoft.com/office/drawing/2014/main" id="{00000000-0008-0000-0000-0000C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28" name="Picture 149" descr="http://www.conermex.com.mx/images/pdf-opt-gris.png">
          <a:extLst>
            <a:ext uri="{FF2B5EF4-FFF2-40B4-BE49-F238E27FC236}">
              <a16:creationId xmlns:a16="http://schemas.microsoft.com/office/drawing/2014/main" id="{00000000-0008-0000-0000-0000C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29" name="Picture 150" descr="http://www.conermex.com.mx/images/pdf-opt-gris.png">
          <a:extLst>
            <a:ext uri="{FF2B5EF4-FFF2-40B4-BE49-F238E27FC236}">
              <a16:creationId xmlns:a16="http://schemas.microsoft.com/office/drawing/2014/main" id="{00000000-0008-0000-0000-0000C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30" name="Picture 151" descr="http://www.conermex.com.mx/images/pdf-opt-gris.png">
          <a:extLst>
            <a:ext uri="{FF2B5EF4-FFF2-40B4-BE49-F238E27FC236}">
              <a16:creationId xmlns:a16="http://schemas.microsoft.com/office/drawing/2014/main" id="{00000000-0008-0000-0000-0000C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31" name="Picture 152" descr="http://www.conermex.com.mx/images/pdf-opt-gris.png">
          <a:extLst>
            <a:ext uri="{FF2B5EF4-FFF2-40B4-BE49-F238E27FC236}">
              <a16:creationId xmlns:a16="http://schemas.microsoft.com/office/drawing/2014/main" id="{00000000-0008-0000-0000-0000C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32" name="Picture 153" descr="http://www.conermex.com.mx/images/pdf-opt-gris.png">
          <a:extLst>
            <a:ext uri="{FF2B5EF4-FFF2-40B4-BE49-F238E27FC236}">
              <a16:creationId xmlns:a16="http://schemas.microsoft.com/office/drawing/2014/main" id="{00000000-0008-0000-0000-0000C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33" name="Picture 154" descr="http://www.conermex.com.mx/images/pdf-opt-gris.png">
          <a:extLst>
            <a:ext uri="{FF2B5EF4-FFF2-40B4-BE49-F238E27FC236}">
              <a16:creationId xmlns:a16="http://schemas.microsoft.com/office/drawing/2014/main" id="{00000000-0008-0000-0000-0000C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34" name="Picture 155" descr="http://www.conermex.com.mx/images/pdf-opt-gris.png">
          <a:extLst>
            <a:ext uri="{FF2B5EF4-FFF2-40B4-BE49-F238E27FC236}">
              <a16:creationId xmlns:a16="http://schemas.microsoft.com/office/drawing/2014/main" id="{00000000-0008-0000-0000-0000C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35" name="Picture 156" descr="http://www.conermex.com.mx/images/pdf-opt-gris.png">
          <a:extLst>
            <a:ext uri="{FF2B5EF4-FFF2-40B4-BE49-F238E27FC236}">
              <a16:creationId xmlns:a16="http://schemas.microsoft.com/office/drawing/2014/main" id="{00000000-0008-0000-0000-0000D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36" name="Picture 157" descr="http://www.conermex.com.mx/images/pdf-opt-gris.png">
          <a:extLst>
            <a:ext uri="{FF2B5EF4-FFF2-40B4-BE49-F238E27FC236}">
              <a16:creationId xmlns:a16="http://schemas.microsoft.com/office/drawing/2014/main" id="{00000000-0008-0000-0000-0000D1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37" name="Picture 158" descr="http://www.conermex.com.mx/images/pdf-opt-gris.png">
          <a:extLst>
            <a:ext uri="{FF2B5EF4-FFF2-40B4-BE49-F238E27FC236}">
              <a16:creationId xmlns:a16="http://schemas.microsoft.com/office/drawing/2014/main" id="{00000000-0008-0000-0000-0000D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38" name="Picture 159" descr="http://www.conermex.com.mx/images/pdf-opt-gris.png">
          <a:extLst>
            <a:ext uri="{FF2B5EF4-FFF2-40B4-BE49-F238E27FC236}">
              <a16:creationId xmlns:a16="http://schemas.microsoft.com/office/drawing/2014/main" id="{00000000-0008-0000-0000-0000D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39" name="Picture 160" descr="http://www.conermex.com.mx/images/pdf-opt-gris.png">
          <a:extLst>
            <a:ext uri="{FF2B5EF4-FFF2-40B4-BE49-F238E27FC236}">
              <a16:creationId xmlns:a16="http://schemas.microsoft.com/office/drawing/2014/main" id="{00000000-0008-0000-0000-0000D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40" name="Picture 161" descr="http://www.conermex.com.mx/images/pdf-opt-gris.png">
          <a:extLst>
            <a:ext uri="{FF2B5EF4-FFF2-40B4-BE49-F238E27FC236}">
              <a16:creationId xmlns:a16="http://schemas.microsoft.com/office/drawing/2014/main" id="{00000000-0008-0000-0000-0000D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41" name="Picture 162" descr="http://www.conermex.com.mx/images/pdf-opt-gris.png">
          <a:extLst>
            <a:ext uri="{FF2B5EF4-FFF2-40B4-BE49-F238E27FC236}">
              <a16:creationId xmlns:a16="http://schemas.microsoft.com/office/drawing/2014/main" id="{00000000-0008-0000-0000-0000D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42" name="Picture 163" descr="http://www.conermex.com.mx/images/pdf-opt-gris.png">
          <a:extLst>
            <a:ext uri="{FF2B5EF4-FFF2-40B4-BE49-F238E27FC236}">
              <a16:creationId xmlns:a16="http://schemas.microsoft.com/office/drawing/2014/main" id="{00000000-0008-0000-0000-0000D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43" name="Picture 164" descr="http://www.conermex.com.mx/images/pdf-opt-gris.png">
          <a:extLst>
            <a:ext uri="{FF2B5EF4-FFF2-40B4-BE49-F238E27FC236}">
              <a16:creationId xmlns:a16="http://schemas.microsoft.com/office/drawing/2014/main" id="{00000000-0008-0000-0000-0000D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44" name="Picture 165" descr="http://www.conermex.com.mx/images/pdf-opt-gris.png">
          <a:extLst>
            <a:ext uri="{FF2B5EF4-FFF2-40B4-BE49-F238E27FC236}">
              <a16:creationId xmlns:a16="http://schemas.microsoft.com/office/drawing/2014/main" id="{00000000-0008-0000-0000-0000D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45" name="Picture 166" descr="http://www.conermex.com.mx/images/pdf-opt-gris.png">
          <a:extLst>
            <a:ext uri="{FF2B5EF4-FFF2-40B4-BE49-F238E27FC236}">
              <a16:creationId xmlns:a16="http://schemas.microsoft.com/office/drawing/2014/main" id="{00000000-0008-0000-0000-0000D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46" name="Picture 167" descr="http://www.conermex.com.mx/images/pdf-opt-gris.png">
          <a:extLst>
            <a:ext uri="{FF2B5EF4-FFF2-40B4-BE49-F238E27FC236}">
              <a16:creationId xmlns:a16="http://schemas.microsoft.com/office/drawing/2014/main" id="{00000000-0008-0000-0000-0000D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47" name="Picture 168" descr="http://www.conermex.com.mx/images/pdf-opt-gris.png">
          <a:extLst>
            <a:ext uri="{FF2B5EF4-FFF2-40B4-BE49-F238E27FC236}">
              <a16:creationId xmlns:a16="http://schemas.microsoft.com/office/drawing/2014/main" id="{00000000-0008-0000-0000-0000D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48" name="Picture 169" descr="http://www.conermex.com.mx/images/pdf-opt-gris.png">
          <a:extLst>
            <a:ext uri="{FF2B5EF4-FFF2-40B4-BE49-F238E27FC236}">
              <a16:creationId xmlns:a16="http://schemas.microsoft.com/office/drawing/2014/main" id="{00000000-0008-0000-0000-0000D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49" name="Picture 170" descr="http://www.conermex.com.mx/images/pdf-opt-gris.png">
          <a:extLst>
            <a:ext uri="{FF2B5EF4-FFF2-40B4-BE49-F238E27FC236}">
              <a16:creationId xmlns:a16="http://schemas.microsoft.com/office/drawing/2014/main" id="{00000000-0008-0000-0000-0000D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50" name="Picture 171" descr="http://www.conermex.com.mx/images/pdf-opt-gris.png">
          <a:extLst>
            <a:ext uri="{FF2B5EF4-FFF2-40B4-BE49-F238E27FC236}">
              <a16:creationId xmlns:a16="http://schemas.microsoft.com/office/drawing/2014/main" id="{00000000-0008-0000-0000-0000D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51" name="Picture 172" descr="http://www.conermex.com.mx/images/pdf-opt-gris.png">
          <a:extLst>
            <a:ext uri="{FF2B5EF4-FFF2-40B4-BE49-F238E27FC236}">
              <a16:creationId xmlns:a16="http://schemas.microsoft.com/office/drawing/2014/main" id="{00000000-0008-0000-0000-0000E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52" name="Picture 173" descr="http://www.conermex.com.mx/images/pdf-opt-gris.png">
          <a:extLst>
            <a:ext uri="{FF2B5EF4-FFF2-40B4-BE49-F238E27FC236}">
              <a16:creationId xmlns:a16="http://schemas.microsoft.com/office/drawing/2014/main" id="{00000000-0008-0000-0000-0000E1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53" name="Picture 174" descr="http://www.conermex.com.mx/images/pdf-opt-gris.png">
          <a:extLst>
            <a:ext uri="{FF2B5EF4-FFF2-40B4-BE49-F238E27FC236}">
              <a16:creationId xmlns:a16="http://schemas.microsoft.com/office/drawing/2014/main" id="{00000000-0008-0000-0000-0000E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54" name="Picture 175" descr="http://www.conermex.com.mx/images/pdf-opt-gris.png">
          <a:extLst>
            <a:ext uri="{FF2B5EF4-FFF2-40B4-BE49-F238E27FC236}">
              <a16:creationId xmlns:a16="http://schemas.microsoft.com/office/drawing/2014/main" id="{00000000-0008-0000-0000-0000E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55" name="Picture 176" descr="http://www.conermex.com.mx/images/pdf-opt-gris.png">
          <a:extLst>
            <a:ext uri="{FF2B5EF4-FFF2-40B4-BE49-F238E27FC236}">
              <a16:creationId xmlns:a16="http://schemas.microsoft.com/office/drawing/2014/main" id="{00000000-0008-0000-0000-0000E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56" name="Picture 177" descr="http://www.conermex.com.mx/images/pdf-opt-gris.png">
          <a:extLst>
            <a:ext uri="{FF2B5EF4-FFF2-40B4-BE49-F238E27FC236}">
              <a16:creationId xmlns:a16="http://schemas.microsoft.com/office/drawing/2014/main" id="{00000000-0008-0000-0000-0000E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57" name="Picture 178" descr="http://www.conermex.com.mx/images/pdf-opt-gris.png">
          <a:extLst>
            <a:ext uri="{FF2B5EF4-FFF2-40B4-BE49-F238E27FC236}">
              <a16:creationId xmlns:a16="http://schemas.microsoft.com/office/drawing/2014/main" id="{00000000-0008-0000-0000-0000E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58" name="Picture 179" descr="http://www.conermex.com.mx/images/pdf-opt-gris.png">
          <a:extLst>
            <a:ext uri="{FF2B5EF4-FFF2-40B4-BE49-F238E27FC236}">
              <a16:creationId xmlns:a16="http://schemas.microsoft.com/office/drawing/2014/main" id="{00000000-0008-0000-0000-0000E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59" name="Picture 180" descr="http://www.conermex.com.mx/images/pdf-opt-gris.png">
          <a:extLst>
            <a:ext uri="{FF2B5EF4-FFF2-40B4-BE49-F238E27FC236}">
              <a16:creationId xmlns:a16="http://schemas.microsoft.com/office/drawing/2014/main" id="{00000000-0008-0000-0000-0000E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60" name="Picture 181" descr="http://www.conermex.com.mx/images/pdf-opt-gris.png">
          <a:extLst>
            <a:ext uri="{FF2B5EF4-FFF2-40B4-BE49-F238E27FC236}">
              <a16:creationId xmlns:a16="http://schemas.microsoft.com/office/drawing/2014/main" id="{00000000-0008-0000-0000-0000E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61" name="Picture 182" descr="http://www.conermex.com.mx/images/pdf-opt-gris.png">
          <a:extLst>
            <a:ext uri="{FF2B5EF4-FFF2-40B4-BE49-F238E27FC236}">
              <a16:creationId xmlns:a16="http://schemas.microsoft.com/office/drawing/2014/main" id="{00000000-0008-0000-0000-0000E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62" name="Picture 183" descr="http://www.conermex.com.mx/images/pdf-opt-gris.png">
          <a:extLst>
            <a:ext uri="{FF2B5EF4-FFF2-40B4-BE49-F238E27FC236}">
              <a16:creationId xmlns:a16="http://schemas.microsoft.com/office/drawing/2014/main" id="{00000000-0008-0000-0000-0000E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63" name="Picture 184" descr="http://www.conermex.com.mx/images/pdf-opt-gris.png">
          <a:extLst>
            <a:ext uri="{FF2B5EF4-FFF2-40B4-BE49-F238E27FC236}">
              <a16:creationId xmlns:a16="http://schemas.microsoft.com/office/drawing/2014/main" id="{00000000-0008-0000-0000-0000E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64" name="Picture 185" descr="http://www.conermex.com.mx/images/pdf-opt-gris.png">
          <a:extLst>
            <a:ext uri="{FF2B5EF4-FFF2-40B4-BE49-F238E27FC236}">
              <a16:creationId xmlns:a16="http://schemas.microsoft.com/office/drawing/2014/main" id="{00000000-0008-0000-0000-0000E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65" name="Picture 186" descr="http://www.conermex.com.mx/images/pdf-opt-gris.png">
          <a:extLst>
            <a:ext uri="{FF2B5EF4-FFF2-40B4-BE49-F238E27FC236}">
              <a16:creationId xmlns:a16="http://schemas.microsoft.com/office/drawing/2014/main" id="{00000000-0008-0000-0000-0000E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66" name="Picture 187" descr="http://www.conermex.com.mx/images/pdf-opt-gris.png">
          <a:extLst>
            <a:ext uri="{FF2B5EF4-FFF2-40B4-BE49-F238E27FC236}">
              <a16:creationId xmlns:a16="http://schemas.microsoft.com/office/drawing/2014/main" id="{00000000-0008-0000-0000-0000E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67" name="Picture 188" descr="http://www.conermex.com.mx/images/pdf-opt-gris.png">
          <a:extLst>
            <a:ext uri="{FF2B5EF4-FFF2-40B4-BE49-F238E27FC236}">
              <a16:creationId xmlns:a16="http://schemas.microsoft.com/office/drawing/2014/main" id="{00000000-0008-0000-0000-0000F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68" name="Picture 189" descr="http://www.conermex.com.mx/images/pdf-opt-gris.png">
          <a:extLst>
            <a:ext uri="{FF2B5EF4-FFF2-40B4-BE49-F238E27FC236}">
              <a16:creationId xmlns:a16="http://schemas.microsoft.com/office/drawing/2014/main" id="{00000000-0008-0000-0000-0000F1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69" name="Picture 190" descr="http://www.conermex.com.mx/images/pdf-opt-gris.png">
          <a:extLst>
            <a:ext uri="{FF2B5EF4-FFF2-40B4-BE49-F238E27FC236}">
              <a16:creationId xmlns:a16="http://schemas.microsoft.com/office/drawing/2014/main" id="{00000000-0008-0000-0000-0000F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70" name="Picture 191" descr="http://www.conermex.com.mx/images/pdf-opt-gris.png">
          <a:extLst>
            <a:ext uri="{FF2B5EF4-FFF2-40B4-BE49-F238E27FC236}">
              <a16:creationId xmlns:a16="http://schemas.microsoft.com/office/drawing/2014/main" id="{00000000-0008-0000-0000-0000F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71" name="Picture 192" descr="http://www.conermex.com.mx/images/pdf-opt-gris.png">
          <a:extLst>
            <a:ext uri="{FF2B5EF4-FFF2-40B4-BE49-F238E27FC236}">
              <a16:creationId xmlns:a16="http://schemas.microsoft.com/office/drawing/2014/main" id="{00000000-0008-0000-0000-0000F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72" name="Picture 193" descr="http://www.conermex.com.mx/images/pdf-opt-gris.png">
          <a:extLst>
            <a:ext uri="{FF2B5EF4-FFF2-40B4-BE49-F238E27FC236}">
              <a16:creationId xmlns:a16="http://schemas.microsoft.com/office/drawing/2014/main" id="{00000000-0008-0000-0000-0000F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73" name="Picture 194" descr="http://www.conermex.com.mx/images/pdf-opt-gris.png">
          <a:extLst>
            <a:ext uri="{FF2B5EF4-FFF2-40B4-BE49-F238E27FC236}">
              <a16:creationId xmlns:a16="http://schemas.microsoft.com/office/drawing/2014/main" id="{00000000-0008-0000-0000-0000F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74" name="Picture 195" descr="http://www.conermex.com.mx/images/pdf-opt-gris.png">
          <a:extLst>
            <a:ext uri="{FF2B5EF4-FFF2-40B4-BE49-F238E27FC236}">
              <a16:creationId xmlns:a16="http://schemas.microsoft.com/office/drawing/2014/main" id="{00000000-0008-0000-0000-0000F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75" name="Picture 196" descr="http://www.conermex.com.mx/images/pdf-opt-gris.png">
          <a:extLst>
            <a:ext uri="{FF2B5EF4-FFF2-40B4-BE49-F238E27FC236}">
              <a16:creationId xmlns:a16="http://schemas.microsoft.com/office/drawing/2014/main" id="{00000000-0008-0000-0000-0000F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76" name="Picture 197" descr="http://www.conermex.com.mx/images/pdf-opt-gris.png">
          <a:extLst>
            <a:ext uri="{FF2B5EF4-FFF2-40B4-BE49-F238E27FC236}">
              <a16:creationId xmlns:a16="http://schemas.microsoft.com/office/drawing/2014/main" id="{00000000-0008-0000-0000-0000F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77" name="Picture 198" descr="http://www.conermex.com.mx/images/pdf-opt-gris.png">
          <a:extLst>
            <a:ext uri="{FF2B5EF4-FFF2-40B4-BE49-F238E27FC236}">
              <a16:creationId xmlns:a16="http://schemas.microsoft.com/office/drawing/2014/main" id="{00000000-0008-0000-0000-0000F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78" name="Picture 199" descr="http://www.conermex.com.mx/images/pdf-opt-gris.png">
          <a:extLst>
            <a:ext uri="{FF2B5EF4-FFF2-40B4-BE49-F238E27FC236}">
              <a16:creationId xmlns:a16="http://schemas.microsoft.com/office/drawing/2014/main" id="{00000000-0008-0000-0000-0000F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79" name="Picture 200" descr="http://www.conermex.com.mx/images/pdf-opt-gris.png">
          <a:extLst>
            <a:ext uri="{FF2B5EF4-FFF2-40B4-BE49-F238E27FC236}">
              <a16:creationId xmlns:a16="http://schemas.microsoft.com/office/drawing/2014/main" id="{00000000-0008-0000-0000-0000F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80" name="Picture 201" descr="http://www.conermex.com.mx/images/pdf-opt-gris.png">
          <a:extLst>
            <a:ext uri="{FF2B5EF4-FFF2-40B4-BE49-F238E27FC236}">
              <a16:creationId xmlns:a16="http://schemas.microsoft.com/office/drawing/2014/main" id="{00000000-0008-0000-0000-0000F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81" name="Picture 202" descr="http://www.conermex.com.mx/images/pdf-opt-gris.png">
          <a:extLst>
            <a:ext uri="{FF2B5EF4-FFF2-40B4-BE49-F238E27FC236}">
              <a16:creationId xmlns:a16="http://schemas.microsoft.com/office/drawing/2014/main" id="{00000000-0008-0000-0000-0000F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82" name="Picture 203" descr="http://www.conermex.com.mx/images/pdf-opt-gris.png">
          <a:extLst>
            <a:ext uri="{FF2B5EF4-FFF2-40B4-BE49-F238E27FC236}">
              <a16:creationId xmlns:a16="http://schemas.microsoft.com/office/drawing/2014/main" id="{00000000-0008-0000-0000-0000F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83" name="Picture 204" descr="http://www.conermex.com.mx/images/pdf-opt-gris.png">
          <a:extLst>
            <a:ext uri="{FF2B5EF4-FFF2-40B4-BE49-F238E27FC236}">
              <a16:creationId xmlns:a16="http://schemas.microsoft.com/office/drawing/2014/main" id="{00000000-0008-0000-0000-00000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84" name="Picture 205" descr="http://www.conermex.com.mx/images/pdf-opt-gris.png">
          <a:extLst>
            <a:ext uri="{FF2B5EF4-FFF2-40B4-BE49-F238E27FC236}">
              <a16:creationId xmlns:a16="http://schemas.microsoft.com/office/drawing/2014/main" id="{00000000-0008-0000-0000-00000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85" name="Picture 206" descr="http://www.conermex.com.mx/images/pdf-opt-gris.png">
          <a:extLst>
            <a:ext uri="{FF2B5EF4-FFF2-40B4-BE49-F238E27FC236}">
              <a16:creationId xmlns:a16="http://schemas.microsoft.com/office/drawing/2014/main" id="{00000000-0008-0000-0000-00000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86" name="Picture 207" descr="http://www.conermex.com.mx/images/pdf-opt-gris.png">
          <a:extLst>
            <a:ext uri="{FF2B5EF4-FFF2-40B4-BE49-F238E27FC236}">
              <a16:creationId xmlns:a16="http://schemas.microsoft.com/office/drawing/2014/main" id="{00000000-0008-0000-0000-00000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87" name="Picture 208" descr="http://www.conermex.com.mx/images/pdf-opt-gris.png">
          <a:extLst>
            <a:ext uri="{FF2B5EF4-FFF2-40B4-BE49-F238E27FC236}">
              <a16:creationId xmlns:a16="http://schemas.microsoft.com/office/drawing/2014/main" id="{00000000-0008-0000-0000-00000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88" name="Picture 209" descr="http://www.conermex.com.mx/images/pdf-opt-gris.png">
          <a:extLst>
            <a:ext uri="{FF2B5EF4-FFF2-40B4-BE49-F238E27FC236}">
              <a16:creationId xmlns:a16="http://schemas.microsoft.com/office/drawing/2014/main" id="{00000000-0008-0000-0000-00000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89" name="Picture 210" descr="http://www.conermex.com.mx/images/pdf-opt-gris.png">
          <a:extLst>
            <a:ext uri="{FF2B5EF4-FFF2-40B4-BE49-F238E27FC236}">
              <a16:creationId xmlns:a16="http://schemas.microsoft.com/office/drawing/2014/main" id="{00000000-0008-0000-0000-00000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90" name="Picture 211" descr="http://www.conermex.com.mx/images/pdf-opt-gris.png">
          <a:extLst>
            <a:ext uri="{FF2B5EF4-FFF2-40B4-BE49-F238E27FC236}">
              <a16:creationId xmlns:a16="http://schemas.microsoft.com/office/drawing/2014/main" id="{00000000-0008-0000-0000-00000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91" name="Picture 212" descr="http://www.conermex.com.mx/images/pdf-opt-gris.png">
          <a:extLst>
            <a:ext uri="{FF2B5EF4-FFF2-40B4-BE49-F238E27FC236}">
              <a16:creationId xmlns:a16="http://schemas.microsoft.com/office/drawing/2014/main" id="{00000000-0008-0000-0000-00000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92" name="Picture 213" descr="http://www.conermex.com.mx/images/pdf-opt-gris.png">
          <a:extLst>
            <a:ext uri="{FF2B5EF4-FFF2-40B4-BE49-F238E27FC236}">
              <a16:creationId xmlns:a16="http://schemas.microsoft.com/office/drawing/2014/main" id="{00000000-0008-0000-0000-00000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93" name="Picture 214" descr="http://www.conermex.com.mx/images/pdf-opt-gris.png">
          <a:extLst>
            <a:ext uri="{FF2B5EF4-FFF2-40B4-BE49-F238E27FC236}">
              <a16:creationId xmlns:a16="http://schemas.microsoft.com/office/drawing/2014/main" id="{00000000-0008-0000-0000-00000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94" name="Picture 215" descr="http://www.conermex.com.mx/images/pdf-opt-gris.png">
          <a:extLst>
            <a:ext uri="{FF2B5EF4-FFF2-40B4-BE49-F238E27FC236}">
              <a16:creationId xmlns:a16="http://schemas.microsoft.com/office/drawing/2014/main" id="{00000000-0008-0000-0000-00000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95" name="Picture 216" descr="http://www.conermex.com.mx/images/pdf-opt-gris.png">
          <a:extLst>
            <a:ext uri="{FF2B5EF4-FFF2-40B4-BE49-F238E27FC236}">
              <a16:creationId xmlns:a16="http://schemas.microsoft.com/office/drawing/2014/main" id="{00000000-0008-0000-0000-00000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96" name="Picture 217" descr="http://www.conermex.com.mx/images/pdf-opt-gris.png">
          <a:extLst>
            <a:ext uri="{FF2B5EF4-FFF2-40B4-BE49-F238E27FC236}">
              <a16:creationId xmlns:a16="http://schemas.microsoft.com/office/drawing/2014/main" id="{00000000-0008-0000-0000-00000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97" name="Picture 218" descr="http://www.conermex.com.mx/images/pdf-opt-gris.png">
          <a:extLst>
            <a:ext uri="{FF2B5EF4-FFF2-40B4-BE49-F238E27FC236}">
              <a16:creationId xmlns:a16="http://schemas.microsoft.com/office/drawing/2014/main" id="{00000000-0008-0000-0000-00000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98" name="Picture 219" descr="http://www.conermex.com.mx/images/pdf-opt-gris.png">
          <a:extLst>
            <a:ext uri="{FF2B5EF4-FFF2-40B4-BE49-F238E27FC236}">
              <a16:creationId xmlns:a16="http://schemas.microsoft.com/office/drawing/2014/main" id="{00000000-0008-0000-0000-00000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99" name="Picture 220" descr="http://www.conermex.com.mx/images/pdf-opt-gris.png">
          <a:extLst>
            <a:ext uri="{FF2B5EF4-FFF2-40B4-BE49-F238E27FC236}">
              <a16:creationId xmlns:a16="http://schemas.microsoft.com/office/drawing/2014/main" id="{00000000-0008-0000-0000-00001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00" name="Picture 221" descr="http://www.conermex.com.mx/images/pdf-opt-gris.png">
          <a:extLst>
            <a:ext uri="{FF2B5EF4-FFF2-40B4-BE49-F238E27FC236}">
              <a16:creationId xmlns:a16="http://schemas.microsoft.com/office/drawing/2014/main" id="{00000000-0008-0000-0000-00001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01" name="Picture 222" descr="http://www.conermex.com.mx/images/pdf-opt-gris.png">
          <a:extLst>
            <a:ext uri="{FF2B5EF4-FFF2-40B4-BE49-F238E27FC236}">
              <a16:creationId xmlns:a16="http://schemas.microsoft.com/office/drawing/2014/main" id="{00000000-0008-0000-0000-00001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02" name="Picture 223" descr="http://www.conermex.com.mx/images/pdf-opt-gris.png">
          <a:extLst>
            <a:ext uri="{FF2B5EF4-FFF2-40B4-BE49-F238E27FC236}">
              <a16:creationId xmlns:a16="http://schemas.microsoft.com/office/drawing/2014/main" id="{00000000-0008-0000-0000-00001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03" name="Picture 224" descr="http://www.conermex.com.mx/images/pdf-opt-gris.png">
          <a:extLst>
            <a:ext uri="{FF2B5EF4-FFF2-40B4-BE49-F238E27FC236}">
              <a16:creationId xmlns:a16="http://schemas.microsoft.com/office/drawing/2014/main" id="{00000000-0008-0000-0000-00001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04" name="Picture 225" descr="http://www.conermex.com.mx/images/pdf-opt-gris.png">
          <a:extLst>
            <a:ext uri="{FF2B5EF4-FFF2-40B4-BE49-F238E27FC236}">
              <a16:creationId xmlns:a16="http://schemas.microsoft.com/office/drawing/2014/main" id="{00000000-0008-0000-0000-00001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05" name="Picture 226" descr="http://www.conermex.com.mx/images/pdf-opt-gris.png">
          <a:extLst>
            <a:ext uri="{FF2B5EF4-FFF2-40B4-BE49-F238E27FC236}">
              <a16:creationId xmlns:a16="http://schemas.microsoft.com/office/drawing/2014/main" id="{00000000-0008-0000-0000-00001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06" name="Picture 227" descr="http://www.conermex.com.mx/images/pdf-opt-gris.png">
          <a:extLst>
            <a:ext uri="{FF2B5EF4-FFF2-40B4-BE49-F238E27FC236}">
              <a16:creationId xmlns:a16="http://schemas.microsoft.com/office/drawing/2014/main" id="{00000000-0008-0000-0000-00001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07" name="Picture 228" descr="http://www.conermex.com.mx/images/pdf-opt-gris.png">
          <a:extLst>
            <a:ext uri="{FF2B5EF4-FFF2-40B4-BE49-F238E27FC236}">
              <a16:creationId xmlns:a16="http://schemas.microsoft.com/office/drawing/2014/main" id="{00000000-0008-0000-0000-00001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08" name="Picture 229" descr="http://www.conermex.com.mx/images/pdf-opt-gris.png">
          <a:extLst>
            <a:ext uri="{FF2B5EF4-FFF2-40B4-BE49-F238E27FC236}">
              <a16:creationId xmlns:a16="http://schemas.microsoft.com/office/drawing/2014/main" id="{00000000-0008-0000-0000-00001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09" name="Picture 230" descr="http://www.conermex.com.mx/images/pdf-opt-gris.png">
          <a:extLst>
            <a:ext uri="{FF2B5EF4-FFF2-40B4-BE49-F238E27FC236}">
              <a16:creationId xmlns:a16="http://schemas.microsoft.com/office/drawing/2014/main" id="{00000000-0008-0000-0000-00001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10" name="Picture 231" descr="http://www.conermex.com.mx/images/pdf-opt-gris.png">
          <a:extLst>
            <a:ext uri="{FF2B5EF4-FFF2-40B4-BE49-F238E27FC236}">
              <a16:creationId xmlns:a16="http://schemas.microsoft.com/office/drawing/2014/main" id="{00000000-0008-0000-0000-00001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11" name="Picture 232" descr="http://www.conermex.com.mx/images/pdf-opt-gris.png">
          <a:extLst>
            <a:ext uri="{FF2B5EF4-FFF2-40B4-BE49-F238E27FC236}">
              <a16:creationId xmlns:a16="http://schemas.microsoft.com/office/drawing/2014/main" id="{00000000-0008-0000-0000-00001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12" name="Picture 233" descr="http://www.conermex.com.mx/images/pdf-opt-gris.png">
          <a:extLst>
            <a:ext uri="{FF2B5EF4-FFF2-40B4-BE49-F238E27FC236}">
              <a16:creationId xmlns:a16="http://schemas.microsoft.com/office/drawing/2014/main" id="{00000000-0008-0000-0000-00001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13" name="Picture 234" descr="http://www.conermex.com.mx/images/pdf-opt-gris.png">
          <a:extLst>
            <a:ext uri="{FF2B5EF4-FFF2-40B4-BE49-F238E27FC236}">
              <a16:creationId xmlns:a16="http://schemas.microsoft.com/office/drawing/2014/main" id="{00000000-0008-0000-0000-00001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14" name="Picture 235" descr="http://www.conermex.com.mx/images/pdf-opt-gris.png">
          <a:extLst>
            <a:ext uri="{FF2B5EF4-FFF2-40B4-BE49-F238E27FC236}">
              <a16:creationId xmlns:a16="http://schemas.microsoft.com/office/drawing/2014/main" id="{00000000-0008-0000-0000-00001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15" name="Picture 236" descr="http://www.conermex.com.mx/images/pdf-opt.png">
          <a:hlinkClick xmlns:r="http://schemas.openxmlformats.org/officeDocument/2006/relationships" r:id="rId8" tgtFrame="_blank"/>
          <a:extLst>
            <a:ext uri="{FF2B5EF4-FFF2-40B4-BE49-F238E27FC236}">
              <a16:creationId xmlns:a16="http://schemas.microsoft.com/office/drawing/2014/main" id="{00000000-0008-0000-0000-000020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16" name="Picture 237" descr="http://www.conermex.com.mx/images/pdf-opt.png">
          <a:hlinkClick xmlns:r="http://schemas.openxmlformats.org/officeDocument/2006/relationships" r:id="rId9" tgtFrame="_blank"/>
          <a:extLst>
            <a:ext uri="{FF2B5EF4-FFF2-40B4-BE49-F238E27FC236}">
              <a16:creationId xmlns:a16="http://schemas.microsoft.com/office/drawing/2014/main" id="{00000000-0008-0000-0000-000021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17" name="Picture 238" descr="http://www.conermex.com.mx/images/pdf-opt-gris.png">
          <a:extLst>
            <a:ext uri="{FF2B5EF4-FFF2-40B4-BE49-F238E27FC236}">
              <a16:creationId xmlns:a16="http://schemas.microsoft.com/office/drawing/2014/main" id="{00000000-0008-0000-0000-00002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18" name="Picture 239" descr="http://www.conermex.com.mx/images/pdf-opt-gris.png">
          <a:extLst>
            <a:ext uri="{FF2B5EF4-FFF2-40B4-BE49-F238E27FC236}">
              <a16:creationId xmlns:a16="http://schemas.microsoft.com/office/drawing/2014/main" id="{00000000-0008-0000-0000-00002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19" name="Picture 240" descr="http://www.conermex.com.mx/images/pdf-opt-gris.png">
          <a:extLst>
            <a:ext uri="{FF2B5EF4-FFF2-40B4-BE49-F238E27FC236}">
              <a16:creationId xmlns:a16="http://schemas.microsoft.com/office/drawing/2014/main" id="{00000000-0008-0000-0000-00002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20" name="Picture 241" descr="http://www.conermex.com.mx/images/pdf-opt.png">
          <a:hlinkClick xmlns:r="http://schemas.openxmlformats.org/officeDocument/2006/relationships" r:id="rId10" tgtFrame="_blank"/>
          <a:extLst>
            <a:ext uri="{FF2B5EF4-FFF2-40B4-BE49-F238E27FC236}">
              <a16:creationId xmlns:a16="http://schemas.microsoft.com/office/drawing/2014/main" id="{00000000-0008-0000-0000-000025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21" name="Picture 242" descr="http://www.conermex.com.mx/images/pdf-opt.png">
          <a:hlinkClick xmlns:r="http://schemas.openxmlformats.org/officeDocument/2006/relationships" r:id="rId10" tgtFrame="_blank"/>
          <a:extLst>
            <a:ext uri="{FF2B5EF4-FFF2-40B4-BE49-F238E27FC236}">
              <a16:creationId xmlns:a16="http://schemas.microsoft.com/office/drawing/2014/main" id="{00000000-0008-0000-0000-000026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22" name="Picture 243" descr="http://www.conermex.com.mx/images/pdf-opt.png">
          <a:hlinkClick xmlns:r="http://schemas.openxmlformats.org/officeDocument/2006/relationships" r:id="rId11" tgtFrame="_blank"/>
          <a:extLst>
            <a:ext uri="{FF2B5EF4-FFF2-40B4-BE49-F238E27FC236}">
              <a16:creationId xmlns:a16="http://schemas.microsoft.com/office/drawing/2014/main" id="{00000000-0008-0000-0000-000027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23" name="Picture 244" descr="http://www.conermex.com.mx/images/pdf-opt.png">
          <a:hlinkClick xmlns:r="http://schemas.openxmlformats.org/officeDocument/2006/relationships" r:id="rId11" tgtFrame="_blank"/>
          <a:extLst>
            <a:ext uri="{FF2B5EF4-FFF2-40B4-BE49-F238E27FC236}">
              <a16:creationId xmlns:a16="http://schemas.microsoft.com/office/drawing/2014/main" id="{00000000-0008-0000-0000-000028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24" name="Picture 245" descr="http://www.conermex.com.mx/images/pdf-opt.png">
          <a:hlinkClick xmlns:r="http://schemas.openxmlformats.org/officeDocument/2006/relationships" r:id="rId11" tgtFrame="_blank"/>
          <a:extLst>
            <a:ext uri="{FF2B5EF4-FFF2-40B4-BE49-F238E27FC236}">
              <a16:creationId xmlns:a16="http://schemas.microsoft.com/office/drawing/2014/main" id="{00000000-0008-0000-0000-000029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25" name="Picture 246" descr="http://www.conermex.com.mx/images/pdf-opt-gris.png">
          <a:hlinkClick xmlns:r="http://schemas.openxmlformats.org/officeDocument/2006/relationships" r:id="rId10" tgtFrame="_blank"/>
          <a:extLst>
            <a:ext uri="{FF2B5EF4-FFF2-40B4-BE49-F238E27FC236}">
              <a16:creationId xmlns:a16="http://schemas.microsoft.com/office/drawing/2014/main" id="{00000000-0008-0000-0000-00002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26" name="Picture 247" descr="http://www.conermex.com.mx/images/pdf-opt-gris.png">
          <a:hlinkClick xmlns:r="http://schemas.openxmlformats.org/officeDocument/2006/relationships" r:id="rId10" tgtFrame="_blank"/>
          <a:extLst>
            <a:ext uri="{FF2B5EF4-FFF2-40B4-BE49-F238E27FC236}">
              <a16:creationId xmlns:a16="http://schemas.microsoft.com/office/drawing/2014/main" id="{00000000-0008-0000-0000-00002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27" name="Picture 248" descr="http://www.conermex.com.mx/images/pdf-opt-gris.png">
          <a:extLst>
            <a:ext uri="{FF2B5EF4-FFF2-40B4-BE49-F238E27FC236}">
              <a16:creationId xmlns:a16="http://schemas.microsoft.com/office/drawing/2014/main" id="{00000000-0008-0000-0000-00002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28" name="Picture 249" descr="http://www.conermex.com.mx/images/pdf-opt-gris.png">
          <a:extLst>
            <a:ext uri="{FF2B5EF4-FFF2-40B4-BE49-F238E27FC236}">
              <a16:creationId xmlns:a16="http://schemas.microsoft.com/office/drawing/2014/main" id="{00000000-0008-0000-0000-00002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29" name="Picture 250" descr="http://www.conermex.com.mx/images/pdf-opt.png">
          <a:hlinkClick xmlns:r="http://schemas.openxmlformats.org/officeDocument/2006/relationships" r:id="rId12" tgtFrame="_blank"/>
          <a:extLst>
            <a:ext uri="{FF2B5EF4-FFF2-40B4-BE49-F238E27FC236}">
              <a16:creationId xmlns:a16="http://schemas.microsoft.com/office/drawing/2014/main" id="{00000000-0008-0000-0000-00002E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30" name="Picture 251" descr="http://www.conermex.com.mx/images/pdf-opt.png">
          <a:hlinkClick xmlns:r="http://schemas.openxmlformats.org/officeDocument/2006/relationships" r:id="rId13" tgtFrame="_blank"/>
          <a:extLst>
            <a:ext uri="{FF2B5EF4-FFF2-40B4-BE49-F238E27FC236}">
              <a16:creationId xmlns:a16="http://schemas.microsoft.com/office/drawing/2014/main" id="{00000000-0008-0000-0000-00002F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31" name="Picture 252" descr="http://www.conermex.com.mx/images/pdf-opt.png">
          <a:hlinkClick xmlns:r="http://schemas.openxmlformats.org/officeDocument/2006/relationships" r:id="rId13" tgtFrame="_blank"/>
          <a:extLst>
            <a:ext uri="{FF2B5EF4-FFF2-40B4-BE49-F238E27FC236}">
              <a16:creationId xmlns:a16="http://schemas.microsoft.com/office/drawing/2014/main" id="{00000000-0008-0000-0000-000030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32" name="Picture 114" descr="http://www.conermex.com.mx/images/pdf-opt.png">
          <a:hlinkClick xmlns:r="http://schemas.openxmlformats.org/officeDocument/2006/relationships" r:id="rId14" tgtFrame="_blank"/>
          <a:extLst>
            <a:ext uri="{FF2B5EF4-FFF2-40B4-BE49-F238E27FC236}">
              <a16:creationId xmlns:a16="http://schemas.microsoft.com/office/drawing/2014/main" id="{00000000-0008-0000-0000-000032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33" name="Picture 115" descr="http://www.conermex.com.mx/images/pdf-opt.png">
          <a:hlinkClick xmlns:r="http://schemas.openxmlformats.org/officeDocument/2006/relationships" r:id="rId15" tgtFrame="_blank"/>
          <a:extLst>
            <a:ext uri="{FF2B5EF4-FFF2-40B4-BE49-F238E27FC236}">
              <a16:creationId xmlns:a16="http://schemas.microsoft.com/office/drawing/2014/main" id="{00000000-0008-0000-0000-000033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34" name="Picture 116" descr="http://www.conermex.com.mx/images/pdf-opt.png">
          <a:hlinkClick xmlns:r="http://schemas.openxmlformats.org/officeDocument/2006/relationships" r:id="rId16" tgtFrame="_blank"/>
          <a:extLst>
            <a:ext uri="{FF2B5EF4-FFF2-40B4-BE49-F238E27FC236}">
              <a16:creationId xmlns:a16="http://schemas.microsoft.com/office/drawing/2014/main" id="{00000000-0008-0000-0000-000034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35" name="Picture 117" descr="http://www.conermex.com.mx/images/pdf-opt.png">
          <a:hlinkClick xmlns:r="http://schemas.openxmlformats.org/officeDocument/2006/relationships" r:id="rId17" tgtFrame="_blank"/>
          <a:extLst>
            <a:ext uri="{FF2B5EF4-FFF2-40B4-BE49-F238E27FC236}">
              <a16:creationId xmlns:a16="http://schemas.microsoft.com/office/drawing/2014/main" id="{00000000-0008-0000-0000-000035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36" name="Picture 118" descr="http://www.conermex.com.mx/images/pdf-opt.png">
          <a:hlinkClick xmlns:r="http://schemas.openxmlformats.org/officeDocument/2006/relationships" r:id="rId18" tgtFrame="_blank"/>
          <a:extLst>
            <a:ext uri="{FF2B5EF4-FFF2-40B4-BE49-F238E27FC236}">
              <a16:creationId xmlns:a16="http://schemas.microsoft.com/office/drawing/2014/main" id="{00000000-0008-0000-0000-000036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37" name="Picture 119" descr="http://www.conermex.com.mx/images/pdf-opt.png">
          <a:hlinkClick xmlns:r="http://schemas.openxmlformats.org/officeDocument/2006/relationships" r:id="rId19" tgtFrame="_blank"/>
          <a:extLst>
            <a:ext uri="{FF2B5EF4-FFF2-40B4-BE49-F238E27FC236}">
              <a16:creationId xmlns:a16="http://schemas.microsoft.com/office/drawing/2014/main" id="{00000000-0008-0000-0000-000037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38" name="Picture 120" descr="http://www.conermex.com.mx/images/pdf-opt-gris.png">
          <a:extLst>
            <a:ext uri="{FF2B5EF4-FFF2-40B4-BE49-F238E27FC236}">
              <a16:creationId xmlns:a16="http://schemas.microsoft.com/office/drawing/2014/main" id="{00000000-0008-0000-0000-00003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39" name="Picture 121" descr="http://www.conermex.com.mx/images/pdf-opt.png">
          <a:hlinkClick xmlns:r="http://schemas.openxmlformats.org/officeDocument/2006/relationships" r:id="rId20"/>
          <a:extLst>
            <a:ext uri="{FF2B5EF4-FFF2-40B4-BE49-F238E27FC236}">
              <a16:creationId xmlns:a16="http://schemas.microsoft.com/office/drawing/2014/main" id="{00000000-0008-0000-0000-000039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40" name="Picture 122" descr="http://www.conermex.com.mx/images/pdf-opt-gris.png">
          <a:extLst>
            <a:ext uri="{FF2B5EF4-FFF2-40B4-BE49-F238E27FC236}">
              <a16:creationId xmlns:a16="http://schemas.microsoft.com/office/drawing/2014/main" id="{00000000-0008-0000-0000-00003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41" name="Picture 123" descr="http://www.conermex.com.mx/images/pdf-opt-gris.png">
          <a:extLst>
            <a:ext uri="{FF2B5EF4-FFF2-40B4-BE49-F238E27FC236}">
              <a16:creationId xmlns:a16="http://schemas.microsoft.com/office/drawing/2014/main" id="{00000000-0008-0000-0000-00003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42" name="Picture 124" descr="http://www.conermex.com.mx/images/pdf-opt-gris.png">
          <a:extLst>
            <a:ext uri="{FF2B5EF4-FFF2-40B4-BE49-F238E27FC236}">
              <a16:creationId xmlns:a16="http://schemas.microsoft.com/office/drawing/2014/main" id="{00000000-0008-0000-0000-00003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43" name="Picture 125"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3D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44" name="Picture 126"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3E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45" name="Picture 127"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3F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46" name="Picture 128"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40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47" name="Picture 129" descr="http://www.conermex.com.mx/images/pdf-opt-gris.png">
          <a:extLst>
            <a:ext uri="{FF2B5EF4-FFF2-40B4-BE49-F238E27FC236}">
              <a16:creationId xmlns:a16="http://schemas.microsoft.com/office/drawing/2014/main" id="{00000000-0008-0000-0000-00004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48" name="Picture 130"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42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49" name="Picture 131"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43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50" name="Picture 132"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44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51" name="Picture 133"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45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52" name="Picture 134" descr="http://www.conermex.com.mx/images/pdf-opt.png">
          <a:hlinkClick xmlns:r="http://schemas.openxmlformats.org/officeDocument/2006/relationships" r:id="rId5" tgtFrame="_blank"/>
          <a:extLst>
            <a:ext uri="{FF2B5EF4-FFF2-40B4-BE49-F238E27FC236}">
              <a16:creationId xmlns:a16="http://schemas.microsoft.com/office/drawing/2014/main" id="{00000000-0008-0000-0000-000046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53" name="Picture 135" descr="http://www.conermex.com.mx/images/pdf-opt.png">
          <a:hlinkClick xmlns:r="http://schemas.openxmlformats.org/officeDocument/2006/relationships" r:id="rId5" tgtFrame="_blank"/>
          <a:extLst>
            <a:ext uri="{FF2B5EF4-FFF2-40B4-BE49-F238E27FC236}">
              <a16:creationId xmlns:a16="http://schemas.microsoft.com/office/drawing/2014/main" id="{00000000-0008-0000-0000-000047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54" name="Picture 136"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48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55" name="Picture 137"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49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56" name="Picture 138"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4A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57" name="Picture 139"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4B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58" name="Picture 140"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4C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59" name="Picture 141"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4D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60" name="Picture 142"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4E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61" name="Picture 143" descr="http://www.conermex.com.mx/images/pdf-opt.png">
          <a:hlinkClick xmlns:r="http://schemas.openxmlformats.org/officeDocument/2006/relationships" r:id="rId8" tgtFrame="_blank"/>
          <a:extLst>
            <a:ext uri="{FF2B5EF4-FFF2-40B4-BE49-F238E27FC236}">
              <a16:creationId xmlns:a16="http://schemas.microsoft.com/office/drawing/2014/main" id="{00000000-0008-0000-0000-00004F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62" name="Picture 144" descr="http://www.conermex.com.mx/images/pdf-opt.png">
          <a:hlinkClick xmlns:r="http://schemas.openxmlformats.org/officeDocument/2006/relationships" r:id="rId9" tgtFrame="_blank"/>
          <a:extLst>
            <a:ext uri="{FF2B5EF4-FFF2-40B4-BE49-F238E27FC236}">
              <a16:creationId xmlns:a16="http://schemas.microsoft.com/office/drawing/2014/main" id="{00000000-0008-0000-0000-000050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63" name="Picture 145" descr="http://www.conermex.com.mx/images/pdf-opt-gris.png">
          <a:extLst>
            <a:ext uri="{FF2B5EF4-FFF2-40B4-BE49-F238E27FC236}">
              <a16:creationId xmlns:a16="http://schemas.microsoft.com/office/drawing/2014/main" id="{00000000-0008-0000-0000-00005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64" name="Picture 146" descr="http://www.conermex.com.mx/images/pdf-opt-gris.png">
          <a:extLst>
            <a:ext uri="{FF2B5EF4-FFF2-40B4-BE49-F238E27FC236}">
              <a16:creationId xmlns:a16="http://schemas.microsoft.com/office/drawing/2014/main" id="{00000000-0008-0000-0000-00005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65" name="Picture 147" descr="http://www.conermex.com.mx/images/pdf-opt-gris.png">
          <a:extLst>
            <a:ext uri="{FF2B5EF4-FFF2-40B4-BE49-F238E27FC236}">
              <a16:creationId xmlns:a16="http://schemas.microsoft.com/office/drawing/2014/main" id="{00000000-0008-0000-0000-00005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66" name="Picture 148" descr="http://www.conermex.com.mx/images/pdf-opt-gris.png">
          <a:extLst>
            <a:ext uri="{FF2B5EF4-FFF2-40B4-BE49-F238E27FC236}">
              <a16:creationId xmlns:a16="http://schemas.microsoft.com/office/drawing/2014/main" id="{00000000-0008-0000-0000-00005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67" name="Picture 149" descr="http://www.conermex.com.mx/images/pdf-opt-gris.png">
          <a:extLst>
            <a:ext uri="{FF2B5EF4-FFF2-40B4-BE49-F238E27FC236}">
              <a16:creationId xmlns:a16="http://schemas.microsoft.com/office/drawing/2014/main" id="{00000000-0008-0000-0000-00005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68" name="Picture 150" descr="http://www.conermex.com.mx/images/pdf-opt-gris.png">
          <a:extLst>
            <a:ext uri="{FF2B5EF4-FFF2-40B4-BE49-F238E27FC236}">
              <a16:creationId xmlns:a16="http://schemas.microsoft.com/office/drawing/2014/main" id="{00000000-0008-0000-0000-00005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69" name="Picture 151" descr="http://www.conermex.com.mx/images/pdf-opt-gris.png">
          <a:extLst>
            <a:ext uri="{FF2B5EF4-FFF2-40B4-BE49-F238E27FC236}">
              <a16:creationId xmlns:a16="http://schemas.microsoft.com/office/drawing/2014/main" id="{00000000-0008-0000-0000-00005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70" name="Picture 152" descr="http://www.conermex.com.mx/images/pdf-opt-gris.png">
          <a:extLst>
            <a:ext uri="{FF2B5EF4-FFF2-40B4-BE49-F238E27FC236}">
              <a16:creationId xmlns:a16="http://schemas.microsoft.com/office/drawing/2014/main" id="{00000000-0008-0000-0000-00005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71" name="Picture 153" descr="http://www.conermex.com.mx/images/pdf-opt-gris.png">
          <a:extLst>
            <a:ext uri="{FF2B5EF4-FFF2-40B4-BE49-F238E27FC236}">
              <a16:creationId xmlns:a16="http://schemas.microsoft.com/office/drawing/2014/main" id="{00000000-0008-0000-0000-00005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72" name="Picture 154" descr="http://www.conermex.com.mx/images/pdf-opt-gris.png">
          <a:extLst>
            <a:ext uri="{FF2B5EF4-FFF2-40B4-BE49-F238E27FC236}">
              <a16:creationId xmlns:a16="http://schemas.microsoft.com/office/drawing/2014/main" id="{00000000-0008-0000-0000-00005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73" name="Picture 155" descr="http://www.conermex.com.mx/images/pdf-opt-gris.png">
          <a:extLst>
            <a:ext uri="{FF2B5EF4-FFF2-40B4-BE49-F238E27FC236}">
              <a16:creationId xmlns:a16="http://schemas.microsoft.com/office/drawing/2014/main" id="{00000000-0008-0000-0000-00005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74" name="Picture 156" descr="http://www.conermex.com.mx/images/pdf-opt-gris.png">
          <a:extLst>
            <a:ext uri="{FF2B5EF4-FFF2-40B4-BE49-F238E27FC236}">
              <a16:creationId xmlns:a16="http://schemas.microsoft.com/office/drawing/2014/main" id="{00000000-0008-0000-0000-00005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75" name="Picture 157" descr="http://www.conermex.com.mx/images/pdf-opt-gris.png">
          <a:extLst>
            <a:ext uri="{FF2B5EF4-FFF2-40B4-BE49-F238E27FC236}">
              <a16:creationId xmlns:a16="http://schemas.microsoft.com/office/drawing/2014/main" id="{00000000-0008-0000-0000-00005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76" name="Picture 158" descr="http://www.conermex.com.mx/images/pdf-opt-gris.png">
          <a:extLst>
            <a:ext uri="{FF2B5EF4-FFF2-40B4-BE49-F238E27FC236}">
              <a16:creationId xmlns:a16="http://schemas.microsoft.com/office/drawing/2014/main" id="{00000000-0008-0000-0000-00005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77" name="Picture 159" descr="http://www.conermex.com.mx/images/pdf-opt-gris.png">
          <a:extLst>
            <a:ext uri="{FF2B5EF4-FFF2-40B4-BE49-F238E27FC236}">
              <a16:creationId xmlns:a16="http://schemas.microsoft.com/office/drawing/2014/main" id="{00000000-0008-0000-0000-00005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78" name="Picture 160" descr="http://www.conermex.com.mx/images/pdf-opt-gris.png">
          <a:extLst>
            <a:ext uri="{FF2B5EF4-FFF2-40B4-BE49-F238E27FC236}">
              <a16:creationId xmlns:a16="http://schemas.microsoft.com/office/drawing/2014/main" id="{00000000-0008-0000-0000-00006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79" name="Picture 161" descr="http://www.conermex.com.mx/images/pdf-opt-gris.png">
          <a:extLst>
            <a:ext uri="{FF2B5EF4-FFF2-40B4-BE49-F238E27FC236}">
              <a16:creationId xmlns:a16="http://schemas.microsoft.com/office/drawing/2014/main" id="{00000000-0008-0000-0000-00006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80" name="Picture 162" descr="http://www.conermex.com.mx/images/pdf-opt-gris.png">
          <a:extLst>
            <a:ext uri="{FF2B5EF4-FFF2-40B4-BE49-F238E27FC236}">
              <a16:creationId xmlns:a16="http://schemas.microsoft.com/office/drawing/2014/main" id="{00000000-0008-0000-0000-00006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81" name="Picture 163" descr="http://www.conermex.com.mx/images/pdf-opt-gris.png">
          <a:extLst>
            <a:ext uri="{FF2B5EF4-FFF2-40B4-BE49-F238E27FC236}">
              <a16:creationId xmlns:a16="http://schemas.microsoft.com/office/drawing/2014/main" id="{00000000-0008-0000-0000-00006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82" name="Picture 164" descr="http://www.conermex.com.mx/images/pdf-opt-gris.png">
          <a:extLst>
            <a:ext uri="{FF2B5EF4-FFF2-40B4-BE49-F238E27FC236}">
              <a16:creationId xmlns:a16="http://schemas.microsoft.com/office/drawing/2014/main" id="{00000000-0008-0000-0000-00006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83" name="Picture 165" descr="http://www.conermex.com.mx/images/pdf-opt-gris.png">
          <a:extLst>
            <a:ext uri="{FF2B5EF4-FFF2-40B4-BE49-F238E27FC236}">
              <a16:creationId xmlns:a16="http://schemas.microsoft.com/office/drawing/2014/main" id="{00000000-0008-0000-0000-00006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84" name="Picture 166" descr="http://www.conermex.com.mx/images/pdf-opt-gris.png">
          <a:extLst>
            <a:ext uri="{FF2B5EF4-FFF2-40B4-BE49-F238E27FC236}">
              <a16:creationId xmlns:a16="http://schemas.microsoft.com/office/drawing/2014/main" id="{00000000-0008-0000-0000-00006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85" name="Picture 167" descr="http://www.conermex.com.mx/images/pdf-opt-gris.png">
          <a:extLst>
            <a:ext uri="{FF2B5EF4-FFF2-40B4-BE49-F238E27FC236}">
              <a16:creationId xmlns:a16="http://schemas.microsoft.com/office/drawing/2014/main" id="{00000000-0008-0000-0000-00006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86" name="Picture 168" descr="http://www.conermex.com.mx/images/pdf-opt-gris.png">
          <a:extLst>
            <a:ext uri="{FF2B5EF4-FFF2-40B4-BE49-F238E27FC236}">
              <a16:creationId xmlns:a16="http://schemas.microsoft.com/office/drawing/2014/main" id="{00000000-0008-0000-0000-00006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87" name="Picture 169" descr="http://www.conermex.com.mx/images/pdf-opt-gris.png">
          <a:extLst>
            <a:ext uri="{FF2B5EF4-FFF2-40B4-BE49-F238E27FC236}">
              <a16:creationId xmlns:a16="http://schemas.microsoft.com/office/drawing/2014/main" id="{00000000-0008-0000-0000-00006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88" name="Picture 170" descr="http://www.conermex.com.mx/images/pdf-opt-gris.png">
          <a:extLst>
            <a:ext uri="{FF2B5EF4-FFF2-40B4-BE49-F238E27FC236}">
              <a16:creationId xmlns:a16="http://schemas.microsoft.com/office/drawing/2014/main" id="{00000000-0008-0000-0000-00006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89" name="Picture 171" descr="http://www.conermex.com.mx/images/pdf-opt-gris.png">
          <a:extLst>
            <a:ext uri="{FF2B5EF4-FFF2-40B4-BE49-F238E27FC236}">
              <a16:creationId xmlns:a16="http://schemas.microsoft.com/office/drawing/2014/main" id="{00000000-0008-0000-0000-00006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90" name="Picture 172" descr="http://www.conermex.com.mx/images/pdf-opt-gris.png">
          <a:extLst>
            <a:ext uri="{FF2B5EF4-FFF2-40B4-BE49-F238E27FC236}">
              <a16:creationId xmlns:a16="http://schemas.microsoft.com/office/drawing/2014/main" id="{00000000-0008-0000-0000-00006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91" name="Picture 173" descr="http://www.conermex.com.mx/images/pdf-opt-gris.png">
          <a:extLst>
            <a:ext uri="{FF2B5EF4-FFF2-40B4-BE49-F238E27FC236}">
              <a16:creationId xmlns:a16="http://schemas.microsoft.com/office/drawing/2014/main" id="{00000000-0008-0000-0000-00006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92" name="Picture 174" descr="http://www.conermex.com.mx/images/pdf-opt-gris.png">
          <a:extLst>
            <a:ext uri="{FF2B5EF4-FFF2-40B4-BE49-F238E27FC236}">
              <a16:creationId xmlns:a16="http://schemas.microsoft.com/office/drawing/2014/main" id="{00000000-0008-0000-0000-00006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93" name="Picture 175" descr="http://www.conermex.com.mx/images/pdf-opt-gris.png">
          <a:extLst>
            <a:ext uri="{FF2B5EF4-FFF2-40B4-BE49-F238E27FC236}">
              <a16:creationId xmlns:a16="http://schemas.microsoft.com/office/drawing/2014/main" id="{00000000-0008-0000-0000-00006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94" name="Picture 176" descr="http://www.conermex.com.mx/images/pdf-opt-gris.png">
          <a:extLst>
            <a:ext uri="{FF2B5EF4-FFF2-40B4-BE49-F238E27FC236}">
              <a16:creationId xmlns:a16="http://schemas.microsoft.com/office/drawing/2014/main" id="{00000000-0008-0000-0000-00007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95" name="Picture 177" descr="http://www.conermex.com.mx/images/pdf-opt-gris.png">
          <a:extLst>
            <a:ext uri="{FF2B5EF4-FFF2-40B4-BE49-F238E27FC236}">
              <a16:creationId xmlns:a16="http://schemas.microsoft.com/office/drawing/2014/main" id="{00000000-0008-0000-0000-00007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96" name="Picture 178" descr="http://www.conermex.com.mx/images/pdf-opt-gris.png">
          <a:extLst>
            <a:ext uri="{FF2B5EF4-FFF2-40B4-BE49-F238E27FC236}">
              <a16:creationId xmlns:a16="http://schemas.microsoft.com/office/drawing/2014/main" id="{00000000-0008-0000-0000-00007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97" name="Picture 179" descr="http://www.conermex.com.mx/images/pdf-opt-gris.png">
          <a:extLst>
            <a:ext uri="{FF2B5EF4-FFF2-40B4-BE49-F238E27FC236}">
              <a16:creationId xmlns:a16="http://schemas.microsoft.com/office/drawing/2014/main" id="{00000000-0008-0000-0000-00007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98" name="Picture 180" descr="http://www.conermex.com.mx/images/pdf-opt-gris.png">
          <a:extLst>
            <a:ext uri="{FF2B5EF4-FFF2-40B4-BE49-F238E27FC236}">
              <a16:creationId xmlns:a16="http://schemas.microsoft.com/office/drawing/2014/main" id="{00000000-0008-0000-0000-00007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199" name="Picture 181" descr="http://www.conermex.com.mx/images/pdf-opt-gris.png">
          <a:extLst>
            <a:ext uri="{FF2B5EF4-FFF2-40B4-BE49-F238E27FC236}">
              <a16:creationId xmlns:a16="http://schemas.microsoft.com/office/drawing/2014/main" id="{00000000-0008-0000-0000-00007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200" name="Picture 182" descr="http://www.conermex.com.mx/images/pdf-opt-gris.png">
          <a:extLst>
            <a:ext uri="{FF2B5EF4-FFF2-40B4-BE49-F238E27FC236}">
              <a16:creationId xmlns:a16="http://schemas.microsoft.com/office/drawing/2014/main" id="{00000000-0008-0000-0000-00007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201" name="Picture 183" descr="http://www.conermex.com.mx/images/pdf-opt-gris.png">
          <a:extLst>
            <a:ext uri="{FF2B5EF4-FFF2-40B4-BE49-F238E27FC236}">
              <a16:creationId xmlns:a16="http://schemas.microsoft.com/office/drawing/2014/main" id="{00000000-0008-0000-0000-00007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202" name="Picture 184" descr="http://www.conermex.com.mx/images/pdf-opt-gris.png">
          <a:extLst>
            <a:ext uri="{FF2B5EF4-FFF2-40B4-BE49-F238E27FC236}">
              <a16:creationId xmlns:a16="http://schemas.microsoft.com/office/drawing/2014/main" id="{00000000-0008-0000-0000-00007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203" name="Picture 185" descr="http://www.conermex.com.mx/images/pdf-opt-gris.png">
          <a:extLst>
            <a:ext uri="{FF2B5EF4-FFF2-40B4-BE49-F238E27FC236}">
              <a16:creationId xmlns:a16="http://schemas.microsoft.com/office/drawing/2014/main" id="{00000000-0008-0000-0000-00007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204" name="Picture 186" descr="http://www.conermex.com.mx/images/pdf-opt-gris.png">
          <a:extLst>
            <a:ext uri="{FF2B5EF4-FFF2-40B4-BE49-F238E27FC236}">
              <a16:creationId xmlns:a16="http://schemas.microsoft.com/office/drawing/2014/main" id="{00000000-0008-0000-0000-00007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205" name="Picture 187" descr="http://www.conermex.com.mx/images/pdf-opt-gris.png">
          <a:extLst>
            <a:ext uri="{FF2B5EF4-FFF2-40B4-BE49-F238E27FC236}">
              <a16:creationId xmlns:a16="http://schemas.microsoft.com/office/drawing/2014/main" id="{00000000-0008-0000-0000-00007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206" name="Picture 188" descr="http://www.conermex.com.mx/images/pdf-opt-gris.png">
          <a:extLst>
            <a:ext uri="{FF2B5EF4-FFF2-40B4-BE49-F238E27FC236}">
              <a16:creationId xmlns:a16="http://schemas.microsoft.com/office/drawing/2014/main" id="{00000000-0008-0000-0000-00007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oneCellAnchor>
    <xdr:from>
      <xdr:col>0</xdr:col>
      <xdr:colOff>0</xdr:colOff>
      <xdr:row>0</xdr:row>
      <xdr:rowOff>0</xdr:rowOff>
    </xdr:from>
    <xdr:ext cx="285750" cy="275915"/>
    <xdr:pic>
      <xdr:nvPicPr>
        <xdr:cNvPr id="207" name="Picture 189" descr="http://www.conermex.com.mx/images/pdf-opt-gris.png">
          <a:extLst>
            <a:ext uri="{FF2B5EF4-FFF2-40B4-BE49-F238E27FC236}">
              <a16:creationId xmlns:a16="http://schemas.microsoft.com/office/drawing/2014/main" id="{00000000-0008-0000-0000-00007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oneCellAnchor>
  <xdr:twoCellAnchor editAs="oneCell">
    <xdr:from>
      <xdr:col>0</xdr:col>
      <xdr:colOff>0</xdr:colOff>
      <xdr:row>0</xdr:row>
      <xdr:rowOff>0</xdr:rowOff>
    </xdr:from>
    <xdr:to>
      <xdr:col>0</xdr:col>
      <xdr:colOff>285750</xdr:colOff>
      <xdr:row>1</xdr:row>
      <xdr:rowOff>7310</xdr:rowOff>
    </xdr:to>
    <xdr:pic>
      <xdr:nvPicPr>
        <xdr:cNvPr id="208" name="Picture 190" descr="http://www.conermex.com.mx/images/pdf-opt-gris.png">
          <a:extLst>
            <a:ext uri="{FF2B5EF4-FFF2-40B4-BE49-F238E27FC236}">
              <a16:creationId xmlns:a16="http://schemas.microsoft.com/office/drawing/2014/main" id="{00000000-0008-0000-0000-00007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09" name="Picture 191" descr="http://www.conermex.com.mx/images/pdf-opt-gris.png">
          <a:extLst>
            <a:ext uri="{FF2B5EF4-FFF2-40B4-BE49-F238E27FC236}">
              <a16:creationId xmlns:a16="http://schemas.microsoft.com/office/drawing/2014/main" id="{00000000-0008-0000-0000-00007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10" name="Picture 192" descr="http://www.conermex.com.mx/images/pdf-opt-gris.png">
          <a:extLst>
            <a:ext uri="{FF2B5EF4-FFF2-40B4-BE49-F238E27FC236}">
              <a16:creationId xmlns:a16="http://schemas.microsoft.com/office/drawing/2014/main" id="{00000000-0008-0000-0000-00008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11" name="Picture 193" descr="http://www.conermex.com.mx/images/pdf-opt-gris.png">
          <a:extLst>
            <a:ext uri="{FF2B5EF4-FFF2-40B4-BE49-F238E27FC236}">
              <a16:creationId xmlns:a16="http://schemas.microsoft.com/office/drawing/2014/main" id="{00000000-0008-0000-0000-00008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12" name="Picture 194" descr="http://www.conermex.com.mx/images/pdf-opt-gris.png">
          <a:extLst>
            <a:ext uri="{FF2B5EF4-FFF2-40B4-BE49-F238E27FC236}">
              <a16:creationId xmlns:a16="http://schemas.microsoft.com/office/drawing/2014/main" id="{00000000-0008-0000-0000-00008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13" name="Picture 195" descr="http://www.conermex.com.mx/images/pdf-opt-gris.png">
          <a:extLst>
            <a:ext uri="{FF2B5EF4-FFF2-40B4-BE49-F238E27FC236}">
              <a16:creationId xmlns:a16="http://schemas.microsoft.com/office/drawing/2014/main" id="{00000000-0008-0000-0000-00008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14" name="Picture 196" descr="http://www.conermex.com.mx/images/pdf-opt-gris.png">
          <a:extLst>
            <a:ext uri="{FF2B5EF4-FFF2-40B4-BE49-F238E27FC236}">
              <a16:creationId xmlns:a16="http://schemas.microsoft.com/office/drawing/2014/main" id="{00000000-0008-0000-0000-00008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15" name="Picture 197" descr="http://www.conermex.com.mx/images/pdf-opt-gris.png">
          <a:extLst>
            <a:ext uri="{FF2B5EF4-FFF2-40B4-BE49-F238E27FC236}">
              <a16:creationId xmlns:a16="http://schemas.microsoft.com/office/drawing/2014/main" id="{00000000-0008-0000-0000-00008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16" name="Picture 198" descr="http://www.conermex.com.mx/images/pdf-opt-gris.png">
          <a:extLst>
            <a:ext uri="{FF2B5EF4-FFF2-40B4-BE49-F238E27FC236}">
              <a16:creationId xmlns:a16="http://schemas.microsoft.com/office/drawing/2014/main" id="{00000000-0008-0000-0000-00008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17" name="Picture 199" descr="http://www.conermex.com.mx/images/pdf-opt-gris.png">
          <a:extLst>
            <a:ext uri="{FF2B5EF4-FFF2-40B4-BE49-F238E27FC236}">
              <a16:creationId xmlns:a16="http://schemas.microsoft.com/office/drawing/2014/main" id="{00000000-0008-0000-0000-00008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18" name="Picture 200" descr="http://www.conermex.com.mx/images/pdf-opt-gris.png">
          <a:extLst>
            <a:ext uri="{FF2B5EF4-FFF2-40B4-BE49-F238E27FC236}">
              <a16:creationId xmlns:a16="http://schemas.microsoft.com/office/drawing/2014/main" id="{00000000-0008-0000-0000-00008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19" name="Picture 201" descr="http://www.conermex.com.mx/images/pdf-opt-gris.png">
          <a:extLst>
            <a:ext uri="{FF2B5EF4-FFF2-40B4-BE49-F238E27FC236}">
              <a16:creationId xmlns:a16="http://schemas.microsoft.com/office/drawing/2014/main" id="{00000000-0008-0000-0000-00008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20" name="Picture 202" descr="http://www.conermex.com.mx/images/pdf-opt-gris.png">
          <a:extLst>
            <a:ext uri="{FF2B5EF4-FFF2-40B4-BE49-F238E27FC236}">
              <a16:creationId xmlns:a16="http://schemas.microsoft.com/office/drawing/2014/main" id="{00000000-0008-0000-0000-00008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21" name="Picture 203" descr="http://www.conermex.com.mx/images/pdf-opt-gris.png">
          <a:extLst>
            <a:ext uri="{FF2B5EF4-FFF2-40B4-BE49-F238E27FC236}">
              <a16:creationId xmlns:a16="http://schemas.microsoft.com/office/drawing/2014/main" id="{00000000-0008-0000-0000-00008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22" name="Picture 204" descr="http://www.conermex.com.mx/images/pdf-opt-gris.png">
          <a:extLst>
            <a:ext uri="{FF2B5EF4-FFF2-40B4-BE49-F238E27FC236}">
              <a16:creationId xmlns:a16="http://schemas.microsoft.com/office/drawing/2014/main" id="{00000000-0008-0000-0000-00008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23" name="Picture 205" descr="http://www.conermex.com.mx/images/pdf-opt-gris.png">
          <a:extLst>
            <a:ext uri="{FF2B5EF4-FFF2-40B4-BE49-F238E27FC236}">
              <a16:creationId xmlns:a16="http://schemas.microsoft.com/office/drawing/2014/main" id="{00000000-0008-0000-0000-00008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24" name="Picture 206" descr="http://www.conermex.com.mx/images/pdf-opt-gris.png">
          <a:extLst>
            <a:ext uri="{FF2B5EF4-FFF2-40B4-BE49-F238E27FC236}">
              <a16:creationId xmlns:a16="http://schemas.microsoft.com/office/drawing/2014/main" id="{00000000-0008-0000-0000-00008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25" name="Picture 207" descr="http://www.conermex.com.mx/images/pdf-opt-gris.png">
          <a:extLst>
            <a:ext uri="{FF2B5EF4-FFF2-40B4-BE49-F238E27FC236}">
              <a16:creationId xmlns:a16="http://schemas.microsoft.com/office/drawing/2014/main" id="{00000000-0008-0000-0000-00008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26" name="Picture 208" descr="http://www.conermex.com.mx/images/pdf-opt-gris.png">
          <a:extLst>
            <a:ext uri="{FF2B5EF4-FFF2-40B4-BE49-F238E27FC236}">
              <a16:creationId xmlns:a16="http://schemas.microsoft.com/office/drawing/2014/main" id="{00000000-0008-0000-0000-00009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27" name="Picture 209" descr="http://www.conermex.com.mx/images/pdf-opt-gris.png">
          <a:extLst>
            <a:ext uri="{FF2B5EF4-FFF2-40B4-BE49-F238E27FC236}">
              <a16:creationId xmlns:a16="http://schemas.microsoft.com/office/drawing/2014/main" id="{00000000-0008-0000-0000-00009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28" name="Picture 210" descr="http://www.conermex.com.mx/images/pdf-opt-gris.png">
          <a:extLst>
            <a:ext uri="{FF2B5EF4-FFF2-40B4-BE49-F238E27FC236}">
              <a16:creationId xmlns:a16="http://schemas.microsoft.com/office/drawing/2014/main" id="{00000000-0008-0000-0000-00009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29" name="Picture 211" descr="http://www.conermex.com.mx/images/pdf-opt-gris.png">
          <a:extLst>
            <a:ext uri="{FF2B5EF4-FFF2-40B4-BE49-F238E27FC236}">
              <a16:creationId xmlns:a16="http://schemas.microsoft.com/office/drawing/2014/main" id="{00000000-0008-0000-0000-00009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30" name="Picture 212" descr="http://www.conermex.com.mx/images/pdf-opt-gris.png">
          <a:extLst>
            <a:ext uri="{FF2B5EF4-FFF2-40B4-BE49-F238E27FC236}">
              <a16:creationId xmlns:a16="http://schemas.microsoft.com/office/drawing/2014/main" id="{00000000-0008-0000-0000-00009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31" name="Picture 213" descr="http://www.conermex.com.mx/images/pdf-opt-gris.png">
          <a:extLst>
            <a:ext uri="{FF2B5EF4-FFF2-40B4-BE49-F238E27FC236}">
              <a16:creationId xmlns:a16="http://schemas.microsoft.com/office/drawing/2014/main" id="{00000000-0008-0000-0000-00009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32" name="Picture 214" descr="http://www.conermex.com.mx/images/pdf-opt-gris.png">
          <a:extLst>
            <a:ext uri="{FF2B5EF4-FFF2-40B4-BE49-F238E27FC236}">
              <a16:creationId xmlns:a16="http://schemas.microsoft.com/office/drawing/2014/main" id="{00000000-0008-0000-0000-00009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33" name="Picture 215" descr="http://www.conermex.com.mx/images/pdf-opt-gris.png">
          <a:extLst>
            <a:ext uri="{FF2B5EF4-FFF2-40B4-BE49-F238E27FC236}">
              <a16:creationId xmlns:a16="http://schemas.microsoft.com/office/drawing/2014/main" id="{00000000-0008-0000-0000-00009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34" name="Picture 216" descr="http://www.conermex.com.mx/images/pdf-opt-gris.png">
          <a:extLst>
            <a:ext uri="{FF2B5EF4-FFF2-40B4-BE49-F238E27FC236}">
              <a16:creationId xmlns:a16="http://schemas.microsoft.com/office/drawing/2014/main" id="{00000000-0008-0000-0000-00009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35" name="Picture 217" descr="http://www.conermex.com.mx/images/pdf-opt-gris.png">
          <a:extLst>
            <a:ext uri="{FF2B5EF4-FFF2-40B4-BE49-F238E27FC236}">
              <a16:creationId xmlns:a16="http://schemas.microsoft.com/office/drawing/2014/main" id="{00000000-0008-0000-0000-00009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36" name="Picture 218" descr="http://www.conermex.com.mx/images/pdf-opt-gris.png">
          <a:extLst>
            <a:ext uri="{FF2B5EF4-FFF2-40B4-BE49-F238E27FC236}">
              <a16:creationId xmlns:a16="http://schemas.microsoft.com/office/drawing/2014/main" id="{00000000-0008-0000-0000-00009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37" name="Picture 219" descr="http://www.conermex.com.mx/images/pdf-opt-gris.png">
          <a:extLst>
            <a:ext uri="{FF2B5EF4-FFF2-40B4-BE49-F238E27FC236}">
              <a16:creationId xmlns:a16="http://schemas.microsoft.com/office/drawing/2014/main" id="{00000000-0008-0000-0000-00009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38" name="Picture 220" descr="http://www.conermex.com.mx/images/pdf-opt-gris.png">
          <a:extLst>
            <a:ext uri="{FF2B5EF4-FFF2-40B4-BE49-F238E27FC236}">
              <a16:creationId xmlns:a16="http://schemas.microsoft.com/office/drawing/2014/main" id="{00000000-0008-0000-0000-00009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39" name="Picture 221" descr="http://www.conermex.com.mx/images/pdf-opt-gris.png">
          <a:extLst>
            <a:ext uri="{FF2B5EF4-FFF2-40B4-BE49-F238E27FC236}">
              <a16:creationId xmlns:a16="http://schemas.microsoft.com/office/drawing/2014/main" id="{00000000-0008-0000-0000-00009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40" name="Picture 222" descr="http://www.conermex.com.mx/images/pdf-opt-gris.png">
          <a:extLst>
            <a:ext uri="{FF2B5EF4-FFF2-40B4-BE49-F238E27FC236}">
              <a16:creationId xmlns:a16="http://schemas.microsoft.com/office/drawing/2014/main" id="{00000000-0008-0000-0000-00009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41" name="Picture 223" descr="http://www.conermex.com.mx/images/pdf-opt-gris.png">
          <a:extLst>
            <a:ext uri="{FF2B5EF4-FFF2-40B4-BE49-F238E27FC236}">
              <a16:creationId xmlns:a16="http://schemas.microsoft.com/office/drawing/2014/main" id="{00000000-0008-0000-0000-00009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42" name="Picture 224" descr="http://www.conermex.com.mx/images/pdf-opt-gris.png">
          <a:extLst>
            <a:ext uri="{FF2B5EF4-FFF2-40B4-BE49-F238E27FC236}">
              <a16:creationId xmlns:a16="http://schemas.microsoft.com/office/drawing/2014/main" id="{00000000-0008-0000-0000-0000A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43" name="Picture 225" descr="http://www.conermex.com.mx/images/pdf-opt-gris.png">
          <a:extLst>
            <a:ext uri="{FF2B5EF4-FFF2-40B4-BE49-F238E27FC236}">
              <a16:creationId xmlns:a16="http://schemas.microsoft.com/office/drawing/2014/main" id="{00000000-0008-0000-0000-0000A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44" name="Picture 226" descr="http://www.conermex.com.mx/images/pdf-opt-gris.png">
          <a:extLst>
            <a:ext uri="{FF2B5EF4-FFF2-40B4-BE49-F238E27FC236}">
              <a16:creationId xmlns:a16="http://schemas.microsoft.com/office/drawing/2014/main" id="{00000000-0008-0000-0000-0000A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45" name="Picture 227" descr="http://www.conermex.com.mx/images/pdf-opt-gris.png">
          <a:extLst>
            <a:ext uri="{FF2B5EF4-FFF2-40B4-BE49-F238E27FC236}">
              <a16:creationId xmlns:a16="http://schemas.microsoft.com/office/drawing/2014/main" id="{00000000-0008-0000-0000-0000A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46" name="Picture 228" descr="http://www.conermex.com.mx/images/pdf-opt-gris.png">
          <a:extLst>
            <a:ext uri="{FF2B5EF4-FFF2-40B4-BE49-F238E27FC236}">
              <a16:creationId xmlns:a16="http://schemas.microsoft.com/office/drawing/2014/main" id="{00000000-0008-0000-0000-0000A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47" name="Picture 229" descr="http://www.conermex.com.mx/images/pdf-opt-gris.png">
          <a:extLst>
            <a:ext uri="{FF2B5EF4-FFF2-40B4-BE49-F238E27FC236}">
              <a16:creationId xmlns:a16="http://schemas.microsoft.com/office/drawing/2014/main" id="{00000000-0008-0000-0000-0000A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48" name="Picture 230" descr="http://www.conermex.com.mx/images/pdf-opt-gris.png">
          <a:extLst>
            <a:ext uri="{FF2B5EF4-FFF2-40B4-BE49-F238E27FC236}">
              <a16:creationId xmlns:a16="http://schemas.microsoft.com/office/drawing/2014/main" id="{00000000-0008-0000-0000-0000A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49" name="Picture 231" descr="http://www.conermex.com.mx/images/pdf-opt-gris.png">
          <a:extLst>
            <a:ext uri="{FF2B5EF4-FFF2-40B4-BE49-F238E27FC236}">
              <a16:creationId xmlns:a16="http://schemas.microsoft.com/office/drawing/2014/main" id="{00000000-0008-0000-0000-0000A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50" name="Picture 232" descr="http://www.conermex.com.mx/images/pdf-opt-gris.png">
          <a:extLst>
            <a:ext uri="{FF2B5EF4-FFF2-40B4-BE49-F238E27FC236}">
              <a16:creationId xmlns:a16="http://schemas.microsoft.com/office/drawing/2014/main" id="{00000000-0008-0000-0000-0000A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51" name="Picture 233" descr="http://www.conermex.com.mx/images/pdf-opt-gris.png">
          <a:extLst>
            <a:ext uri="{FF2B5EF4-FFF2-40B4-BE49-F238E27FC236}">
              <a16:creationId xmlns:a16="http://schemas.microsoft.com/office/drawing/2014/main" id="{00000000-0008-0000-0000-0000A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52" name="Picture 234" descr="http://www.conermex.com.mx/images/pdf-opt-gris.png">
          <a:extLst>
            <a:ext uri="{FF2B5EF4-FFF2-40B4-BE49-F238E27FC236}">
              <a16:creationId xmlns:a16="http://schemas.microsoft.com/office/drawing/2014/main" id="{00000000-0008-0000-0000-0000A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53" name="Picture 235" descr="http://www.conermex.com.mx/images/pdf-opt-gris.png">
          <a:extLst>
            <a:ext uri="{FF2B5EF4-FFF2-40B4-BE49-F238E27FC236}">
              <a16:creationId xmlns:a16="http://schemas.microsoft.com/office/drawing/2014/main" id="{00000000-0008-0000-0000-0000A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54" name="Picture 236" descr="http://www.conermex.com.mx/images/pdf-opt.png">
          <a:hlinkClick xmlns:r="http://schemas.openxmlformats.org/officeDocument/2006/relationships" r:id="rId8" tgtFrame="_blank"/>
          <a:extLst>
            <a:ext uri="{FF2B5EF4-FFF2-40B4-BE49-F238E27FC236}">
              <a16:creationId xmlns:a16="http://schemas.microsoft.com/office/drawing/2014/main" id="{00000000-0008-0000-0000-0000AC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55" name="Picture 237" descr="http://www.conermex.com.mx/images/pdf-opt.png">
          <a:hlinkClick xmlns:r="http://schemas.openxmlformats.org/officeDocument/2006/relationships" r:id="rId9" tgtFrame="_blank"/>
          <a:extLst>
            <a:ext uri="{FF2B5EF4-FFF2-40B4-BE49-F238E27FC236}">
              <a16:creationId xmlns:a16="http://schemas.microsoft.com/office/drawing/2014/main" id="{00000000-0008-0000-0000-0000AD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56" name="Picture 238" descr="http://www.conermex.com.mx/images/pdf-opt-gris.png">
          <a:extLst>
            <a:ext uri="{FF2B5EF4-FFF2-40B4-BE49-F238E27FC236}">
              <a16:creationId xmlns:a16="http://schemas.microsoft.com/office/drawing/2014/main" id="{00000000-0008-0000-0000-0000A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57" name="Picture 239" descr="http://www.conermex.com.mx/images/pdf-opt-gris.png">
          <a:extLst>
            <a:ext uri="{FF2B5EF4-FFF2-40B4-BE49-F238E27FC236}">
              <a16:creationId xmlns:a16="http://schemas.microsoft.com/office/drawing/2014/main" id="{00000000-0008-0000-0000-0000A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58" name="Picture 240" descr="http://www.conermex.com.mx/images/pdf-opt-gris.png">
          <a:extLst>
            <a:ext uri="{FF2B5EF4-FFF2-40B4-BE49-F238E27FC236}">
              <a16:creationId xmlns:a16="http://schemas.microsoft.com/office/drawing/2014/main" id="{00000000-0008-0000-0000-0000B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59" name="Picture 241" descr="http://www.conermex.com.mx/images/pdf-opt.png">
          <a:hlinkClick xmlns:r="http://schemas.openxmlformats.org/officeDocument/2006/relationships" r:id="rId10" tgtFrame="_blank"/>
          <a:extLst>
            <a:ext uri="{FF2B5EF4-FFF2-40B4-BE49-F238E27FC236}">
              <a16:creationId xmlns:a16="http://schemas.microsoft.com/office/drawing/2014/main" id="{00000000-0008-0000-0000-0000B1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60" name="Picture 242" descr="http://www.conermex.com.mx/images/pdf-opt.png">
          <a:hlinkClick xmlns:r="http://schemas.openxmlformats.org/officeDocument/2006/relationships" r:id="rId10" tgtFrame="_blank"/>
          <a:extLst>
            <a:ext uri="{FF2B5EF4-FFF2-40B4-BE49-F238E27FC236}">
              <a16:creationId xmlns:a16="http://schemas.microsoft.com/office/drawing/2014/main" id="{00000000-0008-0000-0000-0000B2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61" name="Picture 243" descr="http://www.conermex.com.mx/images/pdf-opt.png">
          <a:hlinkClick xmlns:r="http://schemas.openxmlformats.org/officeDocument/2006/relationships" r:id="rId11" tgtFrame="_blank"/>
          <a:extLst>
            <a:ext uri="{FF2B5EF4-FFF2-40B4-BE49-F238E27FC236}">
              <a16:creationId xmlns:a16="http://schemas.microsoft.com/office/drawing/2014/main" id="{00000000-0008-0000-0000-0000B3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62" name="Picture 244" descr="http://www.conermex.com.mx/images/pdf-opt.png">
          <a:hlinkClick xmlns:r="http://schemas.openxmlformats.org/officeDocument/2006/relationships" r:id="rId11" tgtFrame="_blank"/>
          <a:extLst>
            <a:ext uri="{FF2B5EF4-FFF2-40B4-BE49-F238E27FC236}">
              <a16:creationId xmlns:a16="http://schemas.microsoft.com/office/drawing/2014/main" id="{00000000-0008-0000-0000-0000B4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63" name="Picture 245" descr="http://www.conermex.com.mx/images/pdf-opt.png">
          <a:hlinkClick xmlns:r="http://schemas.openxmlformats.org/officeDocument/2006/relationships" r:id="rId11" tgtFrame="_blank"/>
          <a:extLst>
            <a:ext uri="{FF2B5EF4-FFF2-40B4-BE49-F238E27FC236}">
              <a16:creationId xmlns:a16="http://schemas.microsoft.com/office/drawing/2014/main" id="{00000000-0008-0000-0000-0000B5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64" name="Picture 246" descr="http://www.conermex.com.mx/images/pdf-opt-gris.png">
          <a:hlinkClick xmlns:r="http://schemas.openxmlformats.org/officeDocument/2006/relationships" r:id="rId10" tgtFrame="_blank"/>
          <a:extLst>
            <a:ext uri="{FF2B5EF4-FFF2-40B4-BE49-F238E27FC236}">
              <a16:creationId xmlns:a16="http://schemas.microsoft.com/office/drawing/2014/main" id="{00000000-0008-0000-0000-0000B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65" name="Picture 247" descr="http://www.conermex.com.mx/images/pdf-opt-gris.png">
          <a:hlinkClick xmlns:r="http://schemas.openxmlformats.org/officeDocument/2006/relationships" r:id="rId10" tgtFrame="_blank"/>
          <a:extLst>
            <a:ext uri="{FF2B5EF4-FFF2-40B4-BE49-F238E27FC236}">
              <a16:creationId xmlns:a16="http://schemas.microsoft.com/office/drawing/2014/main" id="{00000000-0008-0000-0000-0000B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66" name="Picture 248" descr="http://www.conermex.com.mx/images/pdf-opt-gris.png">
          <a:extLst>
            <a:ext uri="{FF2B5EF4-FFF2-40B4-BE49-F238E27FC236}">
              <a16:creationId xmlns:a16="http://schemas.microsoft.com/office/drawing/2014/main" id="{00000000-0008-0000-0000-0000B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67" name="Picture 249" descr="http://www.conermex.com.mx/images/pdf-opt-gris.png">
          <a:extLst>
            <a:ext uri="{FF2B5EF4-FFF2-40B4-BE49-F238E27FC236}">
              <a16:creationId xmlns:a16="http://schemas.microsoft.com/office/drawing/2014/main" id="{00000000-0008-0000-0000-0000B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68" name="Picture 250" descr="http://www.conermex.com.mx/images/pdf-opt.png">
          <a:hlinkClick xmlns:r="http://schemas.openxmlformats.org/officeDocument/2006/relationships" r:id="rId12" tgtFrame="_blank"/>
          <a:extLst>
            <a:ext uri="{FF2B5EF4-FFF2-40B4-BE49-F238E27FC236}">
              <a16:creationId xmlns:a16="http://schemas.microsoft.com/office/drawing/2014/main" id="{00000000-0008-0000-0000-0000BA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69" name="Picture 251" descr="http://www.conermex.com.mx/images/pdf-opt.png">
          <a:hlinkClick xmlns:r="http://schemas.openxmlformats.org/officeDocument/2006/relationships" r:id="rId13" tgtFrame="_blank"/>
          <a:extLst>
            <a:ext uri="{FF2B5EF4-FFF2-40B4-BE49-F238E27FC236}">
              <a16:creationId xmlns:a16="http://schemas.microsoft.com/office/drawing/2014/main" id="{00000000-0008-0000-0000-0000BB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70" name="Picture 252" descr="http://www.conermex.com.mx/images/pdf-opt.png">
          <a:hlinkClick xmlns:r="http://schemas.openxmlformats.org/officeDocument/2006/relationships" r:id="rId13" tgtFrame="_blank"/>
          <a:extLst>
            <a:ext uri="{FF2B5EF4-FFF2-40B4-BE49-F238E27FC236}">
              <a16:creationId xmlns:a16="http://schemas.microsoft.com/office/drawing/2014/main" id="{00000000-0008-0000-0000-0000BC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71" name="Picture 114" descr="http://www.conermex.com.mx/images/pdf-opt.png">
          <a:hlinkClick xmlns:r="http://schemas.openxmlformats.org/officeDocument/2006/relationships" r:id="rId14" tgtFrame="_blank"/>
          <a:extLst>
            <a:ext uri="{FF2B5EF4-FFF2-40B4-BE49-F238E27FC236}">
              <a16:creationId xmlns:a16="http://schemas.microsoft.com/office/drawing/2014/main" id="{00000000-0008-0000-0000-0000BE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72" name="Picture 115" descr="http://www.conermex.com.mx/images/pdf-opt.png">
          <a:hlinkClick xmlns:r="http://schemas.openxmlformats.org/officeDocument/2006/relationships" r:id="rId15" tgtFrame="_blank"/>
          <a:extLst>
            <a:ext uri="{FF2B5EF4-FFF2-40B4-BE49-F238E27FC236}">
              <a16:creationId xmlns:a16="http://schemas.microsoft.com/office/drawing/2014/main" id="{00000000-0008-0000-0000-0000BF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73" name="Picture 116" descr="http://www.conermex.com.mx/images/pdf-opt.png">
          <a:hlinkClick xmlns:r="http://schemas.openxmlformats.org/officeDocument/2006/relationships" r:id="rId16" tgtFrame="_blank"/>
          <a:extLst>
            <a:ext uri="{FF2B5EF4-FFF2-40B4-BE49-F238E27FC236}">
              <a16:creationId xmlns:a16="http://schemas.microsoft.com/office/drawing/2014/main" id="{00000000-0008-0000-0000-0000C0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74" name="Picture 117" descr="http://www.conermex.com.mx/images/pdf-opt.png">
          <a:hlinkClick xmlns:r="http://schemas.openxmlformats.org/officeDocument/2006/relationships" r:id="rId17" tgtFrame="_blank"/>
          <a:extLst>
            <a:ext uri="{FF2B5EF4-FFF2-40B4-BE49-F238E27FC236}">
              <a16:creationId xmlns:a16="http://schemas.microsoft.com/office/drawing/2014/main" id="{00000000-0008-0000-0000-0000C1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75" name="Picture 118" descr="http://www.conermex.com.mx/images/pdf-opt.png">
          <a:hlinkClick xmlns:r="http://schemas.openxmlformats.org/officeDocument/2006/relationships" r:id="rId18" tgtFrame="_blank"/>
          <a:extLst>
            <a:ext uri="{FF2B5EF4-FFF2-40B4-BE49-F238E27FC236}">
              <a16:creationId xmlns:a16="http://schemas.microsoft.com/office/drawing/2014/main" id="{00000000-0008-0000-0000-0000C2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76" name="Picture 119" descr="http://www.conermex.com.mx/images/pdf-opt.png">
          <a:hlinkClick xmlns:r="http://schemas.openxmlformats.org/officeDocument/2006/relationships" r:id="rId19" tgtFrame="_blank"/>
          <a:extLst>
            <a:ext uri="{FF2B5EF4-FFF2-40B4-BE49-F238E27FC236}">
              <a16:creationId xmlns:a16="http://schemas.microsoft.com/office/drawing/2014/main" id="{00000000-0008-0000-0000-0000C3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77" name="Picture 120" descr="http://www.conermex.com.mx/images/pdf-opt-gris.png">
          <a:extLst>
            <a:ext uri="{FF2B5EF4-FFF2-40B4-BE49-F238E27FC236}">
              <a16:creationId xmlns:a16="http://schemas.microsoft.com/office/drawing/2014/main" id="{00000000-0008-0000-0000-0000C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78" name="Picture 121" descr="http://www.conermex.com.mx/images/pdf-opt.png">
          <a:hlinkClick xmlns:r="http://schemas.openxmlformats.org/officeDocument/2006/relationships" r:id="rId20"/>
          <a:extLst>
            <a:ext uri="{FF2B5EF4-FFF2-40B4-BE49-F238E27FC236}">
              <a16:creationId xmlns:a16="http://schemas.microsoft.com/office/drawing/2014/main" id="{00000000-0008-0000-0000-0000C5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79" name="Picture 122" descr="http://www.conermex.com.mx/images/pdf-opt-gris.png">
          <a:extLst>
            <a:ext uri="{FF2B5EF4-FFF2-40B4-BE49-F238E27FC236}">
              <a16:creationId xmlns:a16="http://schemas.microsoft.com/office/drawing/2014/main" id="{00000000-0008-0000-0000-0000C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80" name="Picture 123" descr="http://www.conermex.com.mx/images/pdf-opt-gris.png">
          <a:extLst>
            <a:ext uri="{FF2B5EF4-FFF2-40B4-BE49-F238E27FC236}">
              <a16:creationId xmlns:a16="http://schemas.microsoft.com/office/drawing/2014/main" id="{00000000-0008-0000-0000-0000C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81" name="Picture 124" descr="http://www.conermex.com.mx/images/pdf-opt-gris.png">
          <a:extLst>
            <a:ext uri="{FF2B5EF4-FFF2-40B4-BE49-F238E27FC236}">
              <a16:creationId xmlns:a16="http://schemas.microsoft.com/office/drawing/2014/main" id="{00000000-0008-0000-0000-0000C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82" name="Picture 125"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C9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83" name="Picture 126"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CA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84" name="Picture 127"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CB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85" name="Picture 128"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CC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86" name="Picture 129" descr="http://www.conermex.com.mx/images/pdf-opt-gris.png">
          <a:extLst>
            <a:ext uri="{FF2B5EF4-FFF2-40B4-BE49-F238E27FC236}">
              <a16:creationId xmlns:a16="http://schemas.microsoft.com/office/drawing/2014/main" id="{00000000-0008-0000-0000-0000C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87" name="Picture 130"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CE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88" name="Picture 131"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CF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89" name="Picture 132"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D0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90" name="Picture 133"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D1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91" name="Picture 134" descr="http://www.conermex.com.mx/images/pdf-opt.png">
          <a:hlinkClick xmlns:r="http://schemas.openxmlformats.org/officeDocument/2006/relationships" r:id="rId5" tgtFrame="_blank"/>
          <a:extLst>
            <a:ext uri="{FF2B5EF4-FFF2-40B4-BE49-F238E27FC236}">
              <a16:creationId xmlns:a16="http://schemas.microsoft.com/office/drawing/2014/main" id="{00000000-0008-0000-0000-0000D2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92" name="Picture 135" descr="http://www.conermex.com.mx/images/pdf-opt.png">
          <a:hlinkClick xmlns:r="http://schemas.openxmlformats.org/officeDocument/2006/relationships" r:id="rId5" tgtFrame="_blank"/>
          <a:extLst>
            <a:ext uri="{FF2B5EF4-FFF2-40B4-BE49-F238E27FC236}">
              <a16:creationId xmlns:a16="http://schemas.microsoft.com/office/drawing/2014/main" id="{00000000-0008-0000-0000-0000D3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93" name="Picture 136"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D4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94" name="Picture 137"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D5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95" name="Picture 138"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D6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96" name="Picture 139"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D7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97" name="Picture 140"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D8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98" name="Picture 141"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D9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299" name="Picture 142"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DA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00" name="Picture 143" descr="http://www.conermex.com.mx/images/pdf-opt.png">
          <a:hlinkClick xmlns:r="http://schemas.openxmlformats.org/officeDocument/2006/relationships" r:id="rId8" tgtFrame="_blank"/>
          <a:extLst>
            <a:ext uri="{FF2B5EF4-FFF2-40B4-BE49-F238E27FC236}">
              <a16:creationId xmlns:a16="http://schemas.microsoft.com/office/drawing/2014/main" id="{00000000-0008-0000-0000-0000DB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01" name="Picture 144" descr="http://www.conermex.com.mx/images/pdf-opt.png">
          <a:hlinkClick xmlns:r="http://schemas.openxmlformats.org/officeDocument/2006/relationships" r:id="rId9" tgtFrame="_blank"/>
          <a:extLst>
            <a:ext uri="{FF2B5EF4-FFF2-40B4-BE49-F238E27FC236}">
              <a16:creationId xmlns:a16="http://schemas.microsoft.com/office/drawing/2014/main" id="{00000000-0008-0000-0000-0000DC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02" name="Picture 145" descr="http://www.conermex.com.mx/images/pdf-opt-gris.png">
          <a:extLst>
            <a:ext uri="{FF2B5EF4-FFF2-40B4-BE49-F238E27FC236}">
              <a16:creationId xmlns:a16="http://schemas.microsoft.com/office/drawing/2014/main" id="{00000000-0008-0000-0000-0000D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03" name="Picture 146" descr="http://www.conermex.com.mx/images/pdf-opt-gris.png">
          <a:extLst>
            <a:ext uri="{FF2B5EF4-FFF2-40B4-BE49-F238E27FC236}">
              <a16:creationId xmlns:a16="http://schemas.microsoft.com/office/drawing/2014/main" id="{00000000-0008-0000-0000-0000D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04" name="Picture 147" descr="http://www.conermex.com.mx/images/pdf-opt-gris.png">
          <a:extLst>
            <a:ext uri="{FF2B5EF4-FFF2-40B4-BE49-F238E27FC236}">
              <a16:creationId xmlns:a16="http://schemas.microsoft.com/office/drawing/2014/main" id="{00000000-0008-0000-0000-0000D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05" name="Picture 148" descr="http://www.conermex.com.mx/images/pdf-opt-gris.png">
          <a:extLst>
            <a:ext uri="{FF2B5EF4-FFF2-40B4-BE49-F238E27FC236}">
              <a16:creationId xmlns:a16="http://schemas.microsoft.com/office/drawing/2014/main" id="{00000000-0008-0000-0000-0000E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06" name="Picture 149" descr="http://www.conermex.com.mx/images/pdf-opt-gris.png">
          <a:extLst>
            <a:ext uri="{FF2B5EF4-FFF2-40B4-BE49-F238E27FC236}">
              <a16:creationId xmlns:a16="http://schemas.microsoft.com/office/drawing/2014/main" id="{00000000-0008-0000-0000-0000E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07" name="Picture 150" descr="http://www.conermex.com.mx/images/pdf-opt-gris.png">
          <a:extLst>
            <a:ext uri="{FF2B5EF4-FFF2-40B4-BE49-F238E27FC236}">
              <a16:creationId xmlns:a16="http://schemas.microsoft.com/office/drawing/2014/main" id="{00000000-0008-0000-0000-0000E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08" name="Picture 151" descr="http://www.conermex.com.mx/images/pdf-opt-gris.png">
          <a:extLst>
            <a:ext uri="{FF2B5EF4-FFF2-40B4-BE49-F238E27FC236}">
              <a16:creationId xmlns:a16="http://schemas.microsoft.com/office/drawing/2014/main" id="{00000000-0008-0000-0000-0000E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09" name="Picture 152" descr="http://www.conermex.com.mx/images/pdf-opt-gris.png">
          <a:extLst>
            <a:ext uri="{FF2B5EF4-FFF2-40B4-BE49-F238E27FC236}">
              <a16:creationId xmlns:a16="http://schemas.microsoft.com/office/drawing/2014/main" id="{00000000-0008-0000-0000-0000E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10" name="Picture 153" descr="http://www.conermex.com.mx/images/pdf-opt-gris.png">
          <a:extLst>
            <a:ext uri="{FF2B5EF4-FFF2-40B4-BE49-F238E27FC236}">
              <a16:creationId xmlns:a16="http://schemas.microsoft.com/office/drawing/2014/main" id="{00000000-0008-0000-0000-0000E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11" name="Picture 154" descr="http://www.conermex.com.mx/images/pdf-opt-gris.png">
          <a:extLst>
            <a:ext uri="{FF2B5EF4-FFF2-40B4-BE49-F238E27FC236}">
              <a16:creationId xmlns:a16="http://schemas.microsoft.com/office/drawing/2014/main" id="{00000000-0008-0000-0000-0000E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12" name="Picture 155" descr="http://www.conermex.com.mx/images/pdf-opt-gris.png">
          <a:extLst>
            <a:ext uri="{FF2B5EF4-FFF2-40B4-BE49-F238E27FC236}">
              <a16:creationId xmlns:a16="http://schemas.microsoft.com/office/drawing/2014/main" id="{00000000-0008-0000-0000-0000E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13" name="Picture 156" descr="http://www.conermex.com.mx/images/pdf-opt-gris.png">
          <a:extLst>
            <a:ext uri="{FF2B5EF4-FFF2-40B4-BE49-F238E27FC236}">
              <a16:creationId xmlns:a16="http://schemas.microsoft.com/office/drawing/2014/main" id="{00000000-0008-0000-0000-0000E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14" name="Picture 157" descr="http://www.conermex.com.mx/images/pdf-opt-gris.png">
          <a:extLst>
            <a:ext uri="{FF2B5EF4-FFF2-40B4-BE49-F238E27FC236}">
              <a16:creationId xmlns:a16="http://schemas.microsoft.com/office/drawing/2014/main" id="{00000000-0008-0000-0000-0000E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15" name="Picture 158" descr="http://www.conermex.com.mx/images/pdf-opt-gris.png">
          <a:extLst>
            <a:ext uri="{FF2B5EF4-FFF2-40B4-BE49-F238E27FC236}">
              <a16:creationId xmlns:a16="http://schemas.microsoft.com/office/drawing/2014/main" id="{00000000-0008-0000-0000-0000E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16" name="Picture 159" descr="http://www.conermex.com.mx/images/pdf-opt-gris.png">
          <a:extLst>
            <a:ext uri="{FF2B5EF4-FFF2-40B4-BE49-F238E27FC236}">
              <a16:creationId xmlns:a16="http://schemas.microsoft.com/office/drawing/2014/main" id="{00000000-0008-0000-0000-0000E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17" name="Picture 160" descr="http://www.conermex.com.mx/images/pdf-opt-gris.png">
          <a:extLst>
            <a:ext uri="{FF2B5EF4-FFF2-40B4-BE49-F238E27FC236}">
              <a16:creationId xmlns:a16="http://schemas.microsoft.com/office/drawing/2014/main" id="{00000000-0008-0000-0000-0000E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18" name="Picture 161" descr="http://www.conermex.com.mx/images/pdf-opt-gris.png">
          <a:extLst>
            <a:ext uri="{FF2B5EF4-FFF2-40B4-BE49-F238E27FC236}">
              <a16:creationId xmlns:a16="http://schemas.microsoft.com/office/drawing/2014/main" id="{00000000-0008-0000-0000-0000E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19" name="Picture 162" descr="http://www.conermex.com.mx/images/pdf-opt-gris.png">
          <a:extLst>
            <a:ext uri="{FF2B5EF4-FFF2-40B4-BE49-F238E27FC236}">
              <a16:creationId xmlns:a16="http://schemas.microsoft.com/office/drawing/2014/main" id="{00000000-0008-0000-0000-0000E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20" name="Picture 163" descr="http://www.conermex.com.mx/images/pdf-opt-gris.png">
          <a:extLst>
            <a:ext uri="{FF2B5EF4-FFF2-40B4-BE49-F238E27FC236}">
              <a16:creationId xmlns:a16="http://schemas.microsoft.com/office/drawing/2014/main" id="{00000000-0008-0000-0000-0000E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21" name="Picture 164" descr="http://www.conermex.com.mx/images/pdf-opt-gris.png">
          <a:extLst>
            <a:ext uri="{FF2B5EF4-FFF2-40B4-BE49-F238E27FC236}">
              <a16:creationId xmlns:a16="http://schemas.microsoft.com/office/drawing/2014/main" id="{00000000-0008-0000-0000-0000F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22" name="Picture 165" descr="http://www.conermex.com.mx/images/pdf-opt-gris.png">
          <a:extLst>
            <a:ext uri="{FF2B5EF4-FFF2-40B4-BE49-F238E27FC236}">
              <a16:creationId xmlns:a16="http://schemas.microsoft.com/office/drawing/2014/main" id="{00000000-0008-0000-0000-0000F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23" name="Picture 166" descr="http://www.conermex.com.mx/images/pdf-opt-gris.png">
          <a:extLst>
            <a:ext uri="{FF2B5EF4-FFF2-40B4-BE49-F238E27FC236}">
              <a16:creationId xmlns:a16="http://schemas.microsoft.com/office/drawing/2014/main" id="{00000000-0008-0000-0000-0000F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24" name="Picture 167" descr="http://www.conermex.com.mx/images/pdf-opt-gris.png">
          <a:extLst>
            <a:ext uri="{FF2B5EF4-FFF2-40B4-BE49-F238E27FC236}">
              <a16:creationId xmlns:a16="http://schemas.microsoft.com/office/drawing/2014/main" id="{00000000-0008-0000-0000-0000F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25" name="Picture 168" descr="http://www.conermex.com.mx/images/pdf-opt-gris.png">
          <a:extLst>
            <a:ext uri="{FF2B5EF4-FFF2-40B4-BE49-F238E27FC236}">
              <a16:creationId xmlns:a16="http://schemas.microsoft.com/office/drawing/2014/main" id="{00000000-0008-0000-0000-0000F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26" name="Picture 169" descr="http://www.conermex.com.mx/images/pdf-opt-gris.png">
          <a:extLst>
            <a:ext uri="{FF2B5EF4-FFF2-40B4-BE49-F238E27FC236}">
              <a16:creationId xmlns:a16="http://schemas.microsoft.com/office/drawing/2014/main" id="{00000000-0008-0000-0000-0000F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27" name="Picture 170" descr="http://www.conermex.com.mx/images/pdf-opt-gris.png">
          <a:extLst>
            <a:ext uri="{FF2B5EF4-FFF2-40B4-BE49-F238E27FC236}">
              <a16:creationId xmlns:a16="http://schemas.microsoft.com/office/drawing/2014/main" id="{00000000-0008-0000-0000-0000F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28" name="Picture 171" descr="http://www.conermex.com.mx/images/pdf-opt-gris.png">
          <a:extLst>
            <a:ext uri="{FF2B5EF4-FFF2-40B4-BE49-F238E27FC236}">
              <a16:creationId xmlns:a16="http://schemas.microsoft.com/office/drawing/2014/main" id="{00000000-0008-0000-0000-0000F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29" name="Picture 172" descr="http://www.conermex.com.mx/images/pdf-opt-gris.png">
          <a:extLst>
            <a:ext uri="{FF2B5EF4-FFF2-40B4-BE49-F238E27FC236}">
              <a16:creationId xmlns:a16="http://schemas.microsoft.com/office/drawing/2014/main" id="{00000000-0008-0000-0000-0000F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30" name="Picture 173" descr="http://www.conermex.com.mx/images/pdf-opt-gris.png">
          <a:extLst>
            <a:ext uri="{FF2B5EF4-FFF2-40B4-BE49-F238E27FC236}">
              <a16:creationId xmlns:a16="http://schemas.microsoft.com/office/drawing/2014/main" id="{00000000-0008-0000-0000-0000F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31" name="Picture 174" descr="http://www.conermex.com.mx/images/pdf-opt-gris.png">
          <a:extLst>
            <a:ext uri="{FF2B5EF4-FFF2-40B4-BE49-F238E27FC236}">
              <a16:creationId xmlns:a16="http://schemas.microsoft.com/office/drawing/2014/main" id="{00000000-0008-0000-0000-0000F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32" name="Picture 175" descr="http://www.conermex.com.mx/images/pdf-opt-gris.png">
          <a:extLst>
            <a:ext uri="{FF2B5EF4-FFF2-40B4-BE49-F238E27FC236}">
              <a16:creationId xmlns:a16="http://schemas.microsoft.com/office/drawing/2014/main" id="{00000000-0008-0000-0000-0000F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33" name="Picture 176" descr="http://www.conermex.com.mx/images/pdf-opt-gris.png">
          <a:extLst>
            <a:ext uri="{FF2B5EF4-FFF2-40B4-BE49-F238E27FC236}">
              <a16:creationId xmlns:a16="http://schemas.microsoft.com/office/drawing/2014/main" id="{00000000-0008-0000-0000-0000F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34" name="Picture 177" descr="http://www.conermex.com.mx/images/pdf-opt-gris.png">
          <a:extLst>
            <a:ext uri="{FF2B5EF4-FFF2-40B4-BE49-F238E27FC236}">
              <a16:creationId xmlns:a16="http://schemas.microsoft.com/office/drawing/2014/main" id="{00000000-0008-0000-0000-0000F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35" name="Picture 178" descr="http://www.conermex.com.mx/images/pdf-opt-gris.png">
          <a:extLst>
            <a:ext uri="{FF2B5EF4-FFF2-40B4-BE49-F238E27FC236}">
              <a16:creationId xmlns:a16="http://schemas.microsoft.com/office/drawing/2014/main" id="{00000000-0008-0000-0000-0000F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36" name="Picture 179" descr="http://www.conermex.com.mx/images/pdf-opt-gris.png">
          <a:extLst>
            <a:ext uri="{FF2B5EF4-FFF2-40B4-BE49-F238E27FC236}">
              <a16:creationId xmlns:a16="http://schemas.microsoft.com/office/drawing/2014/main" id="{00000000-0008-0000-0000-0000F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37" name="Picture 180" descr="http://www.conermex.com.mx/images/pdf-opt-gris.png">
          <a:extLst>
            <a:ext uri="{FF2B5EF4-FFF2-40B4-BE49-F238E27FC236}">
              <a16:creationId xmlns:a16="http://schemas.microsoft.com/office/drawing/2014/main" id="{00000000-0008-0000-0000-000000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38" name="Picture 181" descr="http://www.conermex.com.mx/images/pdf-opt-gris.png">
          <a:extLst>
            <a:ext uri="{FF2B5EF4-FFF2-40B4-BE49-F238E27FC236}">
              <a16:creationId xmlns:a16="http://schemas.microsoft.com/office/drawing/2014/main" id="{00000000-0008-0000-0000-000001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39" name="Picture 182" descr="http://www.conermex.com.mx/images/pdf-opt-gris.png">
          <a:extLst>
            <a:ext uri="{FF2B5EF4-FFF2-40B4-BE49-F238E27FC236}">
              <a16:creationId xmlns:a16="http://schemas.microsoft.com/office/drawing/2014/main" id="{00000000-0008-0000-0000-000002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40" name="Picture 183" descr="http://www.conermex.com.mx/images/pdf-opt-gris.png">
          <a:extLst>
            <a:ext uri="{FF2B5EF4-FFF2-40B4-BE49-F238E27FC236}">
              <a16:creationId xmlns:a16="http://schemas.microsoft.com/office/drawing/2014/main" id="{00000000-0008-0000-0000-000003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41" name="Picture 184" descr="http://www.conermex.com.mx/images/pdf-opt-gris.png">
          <a:extLst>
            <a:ext uri="{FF2B5EF4-FFF2-40B4-BE49-F238E27FC236}">
              <a16:creationId xmlns:a16="http://schemas.microsoft.com/office/drawing/2014/main" id="{00000000-0008-0000-0000-000004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42" name="Picture 185" descr="http://www.conermex.com.mx/images/pdf-opt-gris.png">
          <a:extLst>
            <a:ext uri="{FF2B5EF4-FFF2-40B4-BE49-F238E27FC236}">
              <a16:creationId xmlns:a16="http://schemas.microsoft.com/office/drawing/2014/main" id="{00000000-0008-0000-0000-000005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43" name="Picture 186" descr="http://www.conermex.com.mx/images/pdf-opt-gris.png">
          <a:extLst>
            <a:ext uri="{FF2B5EF4-FFF2-40B4-BE49-F238E27FC236}">
              <a16:creationId xmlns:a16="http://schemas.microsoft.com/office/drawing/2014/main" id="{00000000-0008-0000-0000-000006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44" name="Picture 187" descr="http://www.conermex.com.mx/images/pdf-opt-gris.png">
          <a:extLst>
            <a:ext uri="{FF2B5EF4-FFF2-40B4-BE49-F238E27FC236}">
              <a16:creationId xmlns:a16="http://schemas.microsoft.com/office/drawing/2014/main" id="{00000000-0008-0000-0000-000007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45" name="Picture 188" descr="http://www.conermex.com.mx/images/pdf-opt-gris.png">
          <a:extLst>
            <a:ext uri="{FF2B5EF4-FFF2-40B4-BE49-F238E27FC236}">
              <a16:creationId xmlns:a16="http://schemas.microsoft.com/office/drawing/2014/main" id="{00000000-0008-0000-0000-000008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46" name="Picture 189" descr="http://www.conermex.com.mx/images/pdf-opt-gris.png">
          <a:extLst>
            <a:ext uri="{FF2B5EF4-FFF2-40B4-BE49-F238E27FC236}">
              <a16:creationId xmlns:a16="http://schemas.microsoft.com/office/drawing/2014/main" id="{00000000-0008-0000-0000-000009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47" name="Picture 190" descr="http://www.conermex.com.mx/images/pdf-opt-gris.png">
          <a:extLst>
            <a:ext uri="{FF2B5EF4-FFF2-40B4-BE49-F238E27FC236}">
              <a16:creationId xmlns:a16="http://schemas.microsoft.com/office/drawing/2014/main" id="{00000000-0008-0000-0000-00000A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48" name="Picture 191" descr="http://www.conermex.com.mx/images/pdf-opt-gris.png">
          <a:extLst>
            <a:ext uri="{FF2B5EF4-FFF2-40B4-BE49-F238E27FC236}">
              <a16:creationId xmlns:a16="http://schemas.microsoft.com/office/drawing/2014/main" id="{00000000-0008-0000-0000-00000B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49" name="Picture 192" descr="http://www.conermex.com.mx/images/pdf-opt-gris.png">
          <a:extLst>
            <a:ext uri="{FF2B5EF4-FFF2-40B4-BE49-F238E27FC236}">
              <a16:creationId xmlns:a16="http://schemas.microsoft.com/office/drawing/2014/main" id="{00000000-0008-0000-0000-00000C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50" name="Picture 193" descr="http://www.conermex.com.mx/images/pdf-opt-gris.png">
          <a:extLst>
            <a:ext uri="{FF2B5EF4-FFF2-40B4-BE49-F238E27FC236}">
              <a16:creationId xmlns:a16="http://schemas.microsoft.com/office/drawing/2014/main" id="{00000000-0008-0000-0000-00000D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51" name="Picture 194" descr="http://www.conermex.com.mx/images/pdf-opt-gris.png">
          <a:extLst>
            <a:ext uri="{FF2B5EF4-FFF2-40B4-BE49-F238E27FC236}">
              <a16:creationId xmlns:a16="http://schemas.microsoft.com/office/drawing/2014/main" id="{00000000-0008-0000-0000-00000E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52" name="Picture 195" descr="http://www.conermex.com.mx/images/pdf-opt-gris.png">
          <a:extLst>
            <a:ext uri="{FF2B5EF4-FFF2-40B4-BE49-F238E27FC236}">
              <a16:creationId xmlns:a16="http://schemas.microsoft.com/office/drawing/2014/main" id="{00000000-0008-0000-0000-00000F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53" name="Picture 196" descr="http://www.conermex.com.mx/images/pdf-opt-gris.png">
          <a:extLst>
            <a:ext uri="{FF2B5EF4-FFF2-40B4-BE49-F238E27FC236}">
              <a16:creationId xmlns:a16="http://schemas.microsoft.com/office/drawing/2014/main" id="{00000000-0008-0000-0000-000010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54" name="Picture 197" descr="http://www.conermex.com.mx/images/pdf-opt-gris.png">
          <a:extLst>
            <a:ext uri="{FF2B5EF4-FFF2-40B4-BE49-F238E27FC236}">
              <a16:creationId xmlns:a16="http://schemas.microsoft.com/office/drawing/2014/main" id="{00000000-0008-0000-0000-000011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55" name="Picture 198" descr="http://www.conermex.com.mx/images/pdf-opt-gris.png">
          <a:extLst>
            <a:ext uri="{FF2B5EF4-FFF2-40B4-BE49-F238E27FC236}">
              <a16:creationId xmlns:a16="http://schemas.microsoft.com/office/drawing/2014/main" id="{00000000-0008-0000-0000-000012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56" name="Picture 199" descr="http://www.conermex.com.mx/images/pdf-opt-gris.png">
          <a:extLst>
            <a:ext uri="{FF2B5EF4-FFF2-40B4-BE49-F238E27FC236}">
              <a16:creationId xmlns:a16="http://schemas.microsoft.com/office/drawing/2014/main" id="{00000000-0008-0000-0000-000013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57" name="Picture 200" descr="http://www.conermex.com.mx/images/pdf-opt-gris.png">
          <a:extLst>
            <a:ext uri="{FF2B5EF4-FFF2-40B4-BE49-F238E27FC236}">
              <a16:creationId xmlns:a16="http://schemas.microsoft.com/office/drawing/2014/main" id="{00000000-0008-0000-0000-000014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58" name="Picture 201" descr="http://www.conermex.com.mx/images/pdf-opt-gris.png">
          <a:extLst>
            <a:ext uri="{FF2B5EF4-FFF2-40B4-BE49-F238E27FC236}">
              <a16:creationId xmlns:a16="http://schemas.microsoft.com/office/drawing/2014/main" id="{00000000-0008-0000-0000-000015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59" name="Picture 202" descr="http://www.conermex.com.mx/images/pdf-opt-gris.png">
          <a:extLst>
            <a:ext uri="{FF2B5EF4-FFF2-40B4-BE49-F238E27FC236}">
              <a16:creationId xmlns:a16="http://schemas.microsoft.com/office/drawing/2014/main" id="{00000000-0008-0000-0000-000016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60" name="Picture 203" descr="http://www.conermex.com.mx/images/pdf-opt-gris.png">
          <a:extLst>
            <a:ext uri="{FF2B5EF4-FFF2-40B4-BE49-F238E27FC236}">
              <a16:creationId xmlns:a16="http://schemas.microsoft.com/office/drawing/2014/main" id="{00000000-0008-0000-0000-000017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61" name="Picture 204" descr="http://www.conermex.com.mx/images/pdf-opt-gris.png">
          <a:extLst>
            <a:ext uri="{FF2B5EF4-FFF2-40B4-BE49-F238E27FC236}">
              <a16:creationId xmlns:a16="http://schemas.microsoft.com/office/drawing/2014/main" id="{00000000-0008-0000-0000-000018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62" name="Picture 205" descr="http://www.conermex.com.mx/images/pdf-opt-gris.png">
          <a:extLst>
            <a:ext uri="{FF2B5EF4-FFF2-40B4-BE49-F238E27FC236}">
              <a16:creationId xmlns:a16="http://schemas.microsoft.com/office/drawing/2014/main" id="{00000000-0008-0000-0000-000019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63" name="Picture 206" descr="http://www.conermex.com.mx/images/pdf-opt-gris.png">
          <a:extLst>
            <a:ext uri="{FF2B5EF4-FFF2-40B4-BE49-F238E27FC236}">
              <a16:creationId xmlns:a16="http://schemas.microsoft.com/office/drawing/2014/main" id="{00000000-0008-0000-0000-00001A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64" name="Picture 207" descr="http://www.conermex.com.mx/images/pdf-opt-gris.png">
          <a:extLst>
            <a:ext uri="{FF2B5EF4-FFF2-40B4-BE49-F238E27FC236}">
              <a16:creationId xmlns:a16="http://schemas.microsoft.com/office/drawing/2014/main" id="{00000000-0008-0000-0000-00001B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65" name="Picture 208" descr="http://www.conermex.com.mx/images/pdf-opt-gris.png">
          <a:extLst>
            <a:ext uri="{FF2B5EF4-FFF2-40B4-BE49-F238E27FC236}">
              <a16:creationId xmlns:a16="http://schemas.microsoft.com/office/drawing/2014/main" id="{00000000-0008-0000-0000-00001C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66" name="Picture 209" descr="http://www.conermex.com.mx/images/pdf-opt-gris.png">
          <a:extLst>
            <a:ext uri="{FF2B5EF4-FFF2-40B4-BE49-F238E27FC236}">
              <a16:creationId xmlns:a16="http://schemas.microsoft.com/office/drawing/2014/main" id="{00000000-0008-0000-0000-00001D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67" name="Picture 210" descr="http://www.conermex.com.mx/images/pdf-opt-gris.png">
          <a:extLst>
            <a:ext uri="{FF2B5EF4-FFF2-40B4-BE49-F238E27FC236}">
              <a16:creationId xmlns:a16="http://schemas.microsoft.com/office/drawing/2014/main" id="{00000000-0008-0000-0000-00001E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68" name="Picture 211" descr="http://www.conermex.com.mx/images/pdf-opt-gris.png">
          <a:extLst>
            <a:ext uri="{FF2B5EF4-FFF2-40B4-BE49-F238E27FC236}">
              <a16:creationId xmlns:a16="http://schemas.microsoft.com/office/drawing/2014/main" id="{00000000-0008-0000-0000-00001F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69" name="Picture 212" descr="http://www.conermex.com.mx/images/pdf-opt-gris.png">
          <a:extLst>
            <a:ext uri="{FF2B5EF4-FFF2-40B4-BE49-F238E27FC236}">
              <a16:creationId xmlns:a16="http://schemas.microsoft.com/office/drawing/2014/main" id="{00000000-0008-0000-0000-000020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70" name="Picture 213" descr="http://www.conermex.com.mx/images/pdf-opt-gris.png">
          <a:extLst>
            <a:ext uri="{FF2B5EF4-FFF2-40B4-BE49-F238E27FC236}">
              <a16:creationId xmlns:a16="http://schemas.microsoft.com/office/drawing/2014/main" id="{00000000-0008-0000-0000-000021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71" name="Picture 214" descr="http://www.conermex.com.mx/images/pdf-opt-gris.png">
          <a:extLst>
            <a:ext uri="{FF2B5EF4-FFF2-40B4-BE49-F238E27FC236}">
              <a16:creationId xmlns:a16="http://schemas.microsoft.com/office/drawing/2014/main" id="{00000000-0008-0000-0000-000022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72" name="Picture 215" descr="http://www.conermex.com.mx/images/pdf-opt-gris.png">
          <a:extLst>
            <a:ext uri="{FF2B5EF4-FFF2-40B4-BE49-F238E27FC236}">
              <a16:creationId xmlns:a16="http://schemas.microsoft.com/office/drawing/2014/main" id="{00000000-0008-0000-0000-000023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73" name="Picture 216" descr="http://www.conermex.com.mx/images/pdf-opt-gris.png">
          <a:extLst>
            <a:ext uri="{FF2B5EF4-FFF2-40B4-BE49-F238E27FC236}">
              <a16:creationId xmlns:a16="http://schemas.microsoft.com/office/drawing/2014/main" id="{00000000-0008-0000-0000-000024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74" name="Picture 217" descr="http://www.conermex.com.mx/images/pdf-opt-gris.png">
          <a:extLst>
            <a:ext uri="{FF2B5EF4-FFF2-40B4-BE49-F238E27FC236}">
              <a16:creationId xmlns:a16="http://schemas.microsoft.com/office/drawing/2014/main" id="{00000000-0008-0000-0000-000025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75" name="Picture 218" descr="http://www.conermex.com.mx/images/pdf-opt-gris.png">
          <a:extLst>
            <a:ext uri="{FF2B5EF4-FFF2-40B4-BE49-F238E27FC236}">
              <a16:creationId xmlns:a16="http://schemas.microsoft.com/office/drawing/2014/main" id="{00000000-0008-0000-0000-000026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76" name="Picture 219" descr="http://www.conermex.com.mx/images/pdf-opt-gris.png">
          <a:extLst>
            <a:ext uri="{FF2B5EF4-FFF2-40B4-BE49-F238E27FC236}">
              <a16:creationId xmlns:a16="http://schemas.microsoft.com/office/drawing/2014/main" id="{00000000-0008-0000-0000-000027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77" name="Picture 220" descr="http://www.conermex.com.mx/images/pdf-opt-gris.png">
          <a:extLst>
            <a:ext uri="{FF2B5EF4-FFF2-40B4-BE49-F238E27FC236}">
              <a16:creationId xmlns:a16="http://schemas.microsoft.com/office/drawing/2014/main" id="{00000000-0008-0000-0000-000028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78" name="Picture 221" descr="http://www.conermex.com.mx/images/pdf-opt-gris.png">
          <a:extLst>
            <a:ext uri="{FF2B5EF4-FFF2-40B4-BE49-F238E27FC236}">
              <a16:creationId xmlns:a16="http://schemas.microsoft.com/office/drawing/2014/main" id="{00000000-0008-0000-0000-000029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79" name="Picture 222" descr="http://www.conermex.com.mx/images/pdf-opt-gris.png">
          <a:extLst>
            <a:ext uri="{FF2B5EF4-FFF2-40B4-BE49-F238E27FC236}">
              <a16:creationId xmlns:a16="http://schemas.microsoft.com/office/drawing/2014/main" id="{00000000-0008-0000-0000-00002A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80" name="Picture 223" descr="http://www.conermex.com.mx/images/pdf-opt-gris.png">
          <a:extLst>
            <a:ext uri="{FF2B5EF4-FFF2-40B4-BE49-F238E27FC236}">
              <a16:creationId xmlns:a16="http://schemas.microsoft.com/office/drawing/2014/main" id="{00000000-0008-0000-0000-00002B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81" name="Picture 224" descr="http://www.conermex.com.mx/images/pdf-opt-gris.png">
          <a:extLst>
            <a:ext uri="{FF2B5EF4-FFF2-40B4-BE49-F238E27FC236}">
              <a16:creationId xmlns:a16="http://schemas.microsoft.com/office/drawing/2014/main" id="{00000000-0008-0000-0000-00002C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82" name="Picture 225" descr="http://www.conermex.com.mx/images/pdf-opt-gris.png">
          <a:extLst>
            <a:ext uri="{FF2B5EF4-FFF2-40B4-BE49-F238E27FC236}">
              <a16:creationId xmlns:a16="http://schemas.microsoft.com/office/drawing/2014/main" id="{00000000-0008-0000-0000-00002D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83" name="Picture 226" descr="http://www.conermex.com.mx/images/pdf-opt-gris.png">
          <a:extLst>
            <a:ext uri="{FF2B5EF4-FFF2-40B4-BE49-F238E27FC236}">
              <a16:creationId xmlns:a16="http://schemas.microsoft.com/office/drawing/2014/main" id="{00000000-0008-0000-0000-00002E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84" name="Picture 227" descr="http://www.conermex.com.mx/images/pdf-opt-gris.png">
          <a:extLst>
            <a:ext uri="{FF2B5EF4-FFF2-40B4-BE49-F238E27FC236}">
              <a16:creationId xmlns:a16="http://schemas.microsoft.com/office/drawing/2014/main" id="{00000000-0008-0000-0000-00002F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85" name="Picture 228" descr="http://www.conermex.com.mx/images/pdf-opt-gris.png">
          <a:extLst>
            <a:ext uri="{FF2B5EF4-FFF2-40B4-BE49-F238E27FC236}">
              <a16:creationId xmlns:a16="http://schemas.microsoft.com/office/drawing/2014/main" id="{00000000-0008-0000-0000-000030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86" name="Picture 229" descr="http://www.conermex.com.mx/images/pdf-opt-gris.png">
          <a:extLst>
            <a:ext uri="{FF2B5EF4-FFF2-40B4-BE49-F238E27FC236}">
              <a16:creationId xmlns:a16="http://schemas.microsoft.com/office/drawing/2014/main" id="{00000000-0008-0000-0000-000031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twoCellAnchor editAs="oneCell">
    <xdr:from>
      <xdr:col>0</xdr:col>
      <xdr:colOff>0</xdr:colOff>
      <xdr:row>0</xdr:row>
      <xdr:rowOff>0</xdr:rowOff>
    </xdr:from>
    <xdr:to>
      <xdr:col>0</xdr:col>
      <xdr:colOff>285750</xdr:colOff>
      <xdr:row>1</xdr:row>
      <xdr:rowOff>7310</xdr:rowOff>
    </xdr:to>
    <xdr:pic>
      <xdr:nvPicPr>
        <xdr:cNvPr id="387" name="Picture 230" descr="http://www.conermex.com.mx/images/pdf-opt-gris.png">
          <a:extLst>
            <a:ext uri="{FF2B5EF4-FFF2-40B4-BE49-F238E27FC236}">
              <a16:creationId xmlns:a16="http://schemas.microsoft.com/office/drawing/2014/main" id="{00000000-0008-0000-0000-000032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466975" y="5086350"/>
          <a:ext cx="285750" cy="275915"/>
        </a:xfrm>
        <a:prstGeom prst="rect">
          <a:avLst/>
        </a:prstGeom>
        <a:noFill/>
      </xdr:spPr>
    </xdr:pic>
    <xdr:clientData/>
  </xdr:twoCellAnchor>
  <xdr:oneCellAnchor>
    <xdr:from>
      <xdr:col>0</xdr:col>
      <xdr:colOff>0</xdr:colOff>
      <xdr:row>1</xdr:row>
      <xdr:rowOff>0</xdr:rowOff>
    </xdr:from>
    <xdr:ext cx="285750" cy="275915"/>
    <xdr:pic>
      <xdr:nvPicPr>
        <xdr:cNvPr id="782" name="Picture 123" descr="http://www.conermex.com.mx/images/pdf-opt-gris.png">
          <a:extLst>
            <a:ext uri="{FF2B5EF4-FFF2-40B4-BE49-F238E27FC236}">
              <a16:creationId xmlns:a16="http://schemas.microsoft.com/office/drawing/2014/main" id="{00000000-0008-0000-0000-0000A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783" name="Picture 124" descr="http://www.conermex.com.mx/images/pdf-opt-gris.png">
          <a:extLst>
            <a:ext uri="{FF2B5EF4-FFF2-40B4-BE49-F238E27FC236}">
              <a16:creationId xmlns:a16="http://schemas.microsoft.com/office/drawing/2014/main" id="{00000000-0008-0000-0000-0000B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784" name="Picture 125"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B1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785" name="Picture 126"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B2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786" name="Picture 127"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B3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787" name="Picture 128"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B4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788" name="Picture 129" descr="http://www.conermex.com.mx/images/pdf-opt-gris.png">
          <a:extLst>
            <a:ext uri="{FF2B5EF4-FFF2-40B4-BE49-F238E27FC236}">
              <a16:creationId xmlns:a16="http://schemas.microsoft.com/office/drawing/2014/main" id="{00000000-0008-0000-0000-0000B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789" name="Picture 130"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B6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790" name="Picture 131"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B7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791" name="Picture 132"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B8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792" name="Picture 133"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B9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793" name="Picture 134" descr="http://www.conermex.com.mx/images/pdf-opt.png">
          <a:hlinkClick xmlns:r="http://schemas.openxmlformats.org/officeDocument/2006/relationships" r:id="rId5" tgtFrame="_blank"/>
          <a:extLst>
            <a:ext uri="{FF2B5EF4-FFF2-40B4-BE49-F238E27FC236}">
              <a16:creationId xmlns:a16="http://schemas.microsoft.com/office/drawing/2014/main" id="{00000000-0008-0000-0000-0000BA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794" name="Picture 135" descr="http://www.conermex.com.mx/images/pdf-opt.png">
          <a:hlinkClick xmlns:r="http://schemas.openxmlformats.org/officeDocument/2006/relationships" r:id="rId5" tgtFrame="_blank"/>
          <a:extLst>
            <a:ext uri="{FF2B5EF4-FFF2-40B4-BE49-F238E27FC236}">
              <a16:creationId xmlns:a16="http://schemas.microsoft.com/office/drawing/2014/main" id="{00000000-0008-0000-0000-0000BB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795" name="Picture 136"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BC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796" name="Picture 137"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BD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797" name="Picture 138"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BE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798" name="Picture 139"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BF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799" name="Picture 140"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C0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00" name="Picture 141"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C1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01" name="Picture 142"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C2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02" name="Picture 143" descr="http://www.conermex.com.mx/images/pdf-opt.png">
          <a:hlinkClick xmlns:r="http://schemas.openxmlformats.org/officeDocument/2006/relationships" r:id="rId8" tgtFrame="_blank"/>
          <a:extLst>
            <a:ext uri="{FF2B5EF4-FFF2-40B4-BE49-F238E27FC236}">
              <a16:creationId xmlns:a16="http://schemas.microsoft.com/office/drawing/2014/main" id="{00000000-0008-0000-0000-0000C3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03" name="Picture 144" descr="http://www.conermex.com.mx/images/pdf-opt.png">
          <a:hlinkClick xmlns:r="http://schemas.openxmlformats.org/officeDocument/2006/relationships" r:id="rId9" tgtFrame="_blank"/>
          <a:extLst>
            <a:ext uri="{FF2B5EF4-FFF2-40B4-BE49-F238E27FC236}">
              <a16:creationId xmlns:a16="http://schemas.microsoft.com/office/drawing/2014/main" id="{00000000-0008-0000-0000-0000C40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04" name="Picture 145" descr="http://www.conermex.com.mx/images/pdf-opt-gris.png">
          <a:extLst>
            <a:ext uri="{FF2B5EF4-FFF2-40B4-BE49-F238E27FC236}">
              <a16:creationId xmlns:a16="http://schemas.microsoft.com/office/drawing/2014/main" id="{00000000-0008-0000-0000-0000C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05" name="Picture 146" descr="http://www.conermex.com.mx/images/pdf-opt-gris.png">
          <a:extLst>
            <a:ext uri="{FF2B5EF4-FFF2-40B4-BE49-F238E27FC236}">
              <a16:creationId xmlns:a16="http://schemas.microsoft.com/office/drawing/2014/main" id="{00000000-0008-0000-0000-0000C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06" name="Picture 147" descr="http://www.conermex.com.mx/images/pdf-opt-gris.png">
          <a:extLst>
            <a:ext uri="{FF2B5EF4-FFF2-40B4-BE49-F238E27FC236}">
              <a16:creationId xmlns:a16="http://schemas.microsoft.com/office/drawing/2014/main" id="{00000000-0008-0000-0000-0000C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07" name="Picture 148" descr="http://www.conermex.com.mx/images/pdf-opt-gris.png">
          <a:extLst>
            <a:ext uri="{FF2B5EF4-FFF2-40B4-BE49-F238E27FC236}">
              <a16:creationId xmlns:a16="http://schemas.microsoft.com/office/drawing/2014/main" id="{00000000-0008-0000-0000-0000C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08" name="Picture 149" descr="http://www.conermex.com.mx/images/pdf-opt-gris.png">
          <a:extLst>
            <a:ext uri="{FF2B5EF4-FFF2-40B4-BE49-F238E27FC236}">
              <a16:creationId xmlns:a16="http://schemas.microsoft.com/office/drawing/2014/main" id="{00000000-0008-0000-0000-0000C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09" name="Picture 150" descr="http://www.conermex.com.mx/images/pdf-opt-gris.png">
          <a:extLst>
            <a:ext uri="{FF2B5EF4-FFF2-40B4-BE49-F238E27FC236}">
              <a16:creationId xmlns:a16="http://schemas.microsoft.com/office/drawing/2014/main" id="{00000000-0008-0000-0000-0000C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10" name="Picture 151" descr="http://www.conermex.com.mx/images/pdf-opt-gris.png">
          <a:extLst>
            <a:ext uri="{FF2B5EF4-FFF2-40B4-BE49-F238E27FC236}">
              <a16:creationId xmlns:a16="http://schemas.microsoft.com/office/drawing/2014/main" id="{00000000-0008-0000-0000-0000C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11" name="Picture 152" descr="http://www.conermex.com.mx/images/pdf-opt-gris.png">
          <a:extLst>
            <a:ext uri="{FF2B5EF4-FFF2-40B4-BE49-F238E27FC236}">
              <a16:creationId xmlns:a16="http://schemas.microsoft.com/office/drawing/2014/main" id="{00000000-0008-0000-0000-0000C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12" name="Picture 153" descr="http://www.conermex.com.mx/images/pdf-opt-gris.png">
          <a:extLst>
            <a:ext uri="{FF2B5EF4-FFF2-40B4-BE49-F238E27FC236}">
              <a16:creationId xmlns:a16="http://schemas.microsoft.com/office/drawing/2014/main" id="{00000000-0008-0000-0000-0000C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13" name="Picture 154" descr="http://www.conermex.com.mx/images/pdf-opt-gris.png">
          <a:extLst>
            <a:ext uri="{FF2B5EF4-FFF2-40B4-BE49-F238E27FC236}">
              <a16:creationId xmlns:a16="http://schemas.microsoft.com/office/drawing/2014/main" id="{00000000-0008-0000-0000-0000C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14" name="Picture 155" descr="http://www.conermex.com.mx/images/pdf-opt-gris.png">
          <a:extLst>
            <a:ext uri="{FF2B5EF4-FFF2-40B4-BE49-F238E27FC236}">
              <a16:creationId xmlns:a16="http://schemas.microsoft.com/office/drawing/2014/main" id="{00000000-0008-0000-0000-0000C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15" name="Picture 156" descr="http://www.conermex.com.mx/images/pdf-opt-gris.png">
          <a:extLst>
            <a:ext uri="{FF2B5EF4-FFF2-40B4-BE49-F238E27FC236}">
              <a16:creationId xmlns:a16="http://schemas.microsoft.com/office/drawing/2014/main" id="{00000000-0008-0000-0000-0000D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16" name="Picture 157" descr="http://www.conermex.com.mx/images/pdf-opt-gris.png">
          <a:extLst>
            <a:ext uri="{FF2B5EF4-FFF2-40B4-BE49-F238E27FC236}">
              <a16:creationId xmlns:a16="http://schemas.microsoft.com/office/drawing/2014/main" id="{00000000-0008-0000-0000-0000D1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17" name="Picture 158" descr="http://www.conermex.com.mx/images/pdf-opt-gris.png">
          <a:extLst>
            <a:ext uri="{FF2B5EF4-FFF2-40B4-BE49-F238E27FC236}">
              <a16:creationId xmlns:a16="http://schemas.microsoft.com/office/drawing/2014/main" id="{00000000-0008-0000-0000-0000D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18" name="Picture 159" descr="http://www.conermex.com.mx/images/pdf-opt-gris.png">
          <a:extLst>
            <a:ext uri="{FF2B5EF4-FFF2-40B4-BE49-F238E27FC236}">
              <a16:creationId xmlns:a16="http://schemas.microsoft.com/office/drawing/2014/main" id="{00000000-0008-0000-0000-0000D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19" name="Picture 160" descr="http://www.conermex.com.mx/images/pdf-opt-gris.png">
          <a:extLst>
            <a:ext uri="{FF2B5EF4-FFF2-40B4-BE49-F238E27FC236}">
              <a16:creationId xmlns:a16="http://schemas.microsoft.com/office/drawing/2014/main" id="{00000000-0008-0000-0000-0000D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20" name="Picture 161" descr="http://www.conermex.com.mx/images/pdf-opt-gris.png">
          <a:extLst>
            <a:ext uri="{FF2B5EF4-FFF2-40B4-BE49-F238E27FC236}">
              <a16:creationId xmlns:a16="http://schemas.microsoft.com/office/drawing/2014/main" id="{00000000-0008-0000-0000-0000D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21" name="Picture 162" descr="http://www.conermex.com.mx/images/pdf-opt-gris.png">
          <a:extLst>
            <a:ext uri="{FF2B5EF4-FFF2-40B4-BE49-F238E27FC236}">
              <a16:creationId xmlns:a16="http://schemas.microsoft.com/office/drawing/2014/main" id="{00000000-0008-0000-0000-0000D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22" name="Picture 163" descr="http://www.conermex.com.mx/images/pdf-opt-gris.png">
          <a:extLst>
            <a:ext uri="{FF2B5EF4-FFF2-40B4-BE49-F238E27FC236}">
              <a16:creationId xmlns:a16="http://schemas.microsoft.com/office/drawing/2014/main" id="{00000000-0008-0000-0000-0000D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23" name="Picture 164" descr="http://www.conermex.com.mx/images/pdf-opt-gris.png">
          <a:extLst>
            <a:ext uri="{FF2B5EF4-FFF2-40B4-BE49-F238E27FC236}">
              <a16:creationId xmlns:a16="http://schemas.microsoft.com/office/drawing/2014/main" id="{00000000-0008-0000-0000-0000D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24" name="Picture 165" descr="http://www.conermex.com.mx/images/pdf-opt-gris.png">
          <a:extLst>
            <a:ext uri="{FF2B5EF4-FFF2-40B4-BE49-F238E27FC236}">
              <a16:creationId xmlns:a16="http://schemas.microsoft.com/office/drawing/2014/main" id="{00000000-0008-0000-0000-0000D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25" name="Picture 166" descr="http://www.conermex.com.mx/images/pdf-opt-gris.png">
          <a:extLst>
            <a:ext uri="{FF2B5EF4-FFF2-40B4-BE49-F238E27FC236}">
              <a16:creationId xmlns:a16="http://schemas.microsoft.com/office/drawing/2014/main" id="{00000000-0008-0000-0000-0000D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26" name="Picture 167" descr="http://www.conermex.com.mx/images/pdf-opt-gris.png">
          <a:extLst>
            <a:ext uri="{FF2B5EF4-FFF2-40B4-BE49-F238E27FC236}">
              <a16:creationId xmlns:a16="http://schemas.microsoft.com/office/drawing/2014/main" id="{00000000-0008-0000-0000-0000D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27" name="Picture 168" descr="http://www.conermex.com.mx/images/pdf-opt-gris.png">
          <a:extLst>
            <a:ext uri="{FF2B5EF4-FFF2-40B4-BE49-F238E27FC236}">
              <a16:creationId xmlns:a16="http://schemas.microsoft.com/office/drawing/2014/main" id="{00000000-0008-0000-0000-0000D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28" name="Picture 169" descr="http://www.conermex.com.mx/images/pdf-opt-gris.png">
          <a:extLst>
            <a:ext uri="{FF2B5EF4-FFF2-40B4-BE49-F238E27FC236}">
              <a16:creationId xmlns:a16="http://schemas.microsoft.com/office/drawing/2014/main" id="{00000000-0008-0000-0000-0000D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29" name="Picture 170" descr="http://www.conermex.com.mx/images/pdf-opt-gris.png">
          <a:extLst>
            <a:ext uri="{FF2B5EF4-FFF2-40B4-BE49-F238E27FC236}">
              <a16:creationId xmlns:a16="http://schemas.microsoft.com/office/drawing/2014/main" id="{00000000-0008-0000-0000-0000D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30" name="Picture 171" descr="http://www.conermex.com.mx/images/pdf-opt-gris.png">
          <a:extLst>
            <a:ext uri="{FF2B5EF4-FFF2-40B4-BE49-F238E27FC236}">
              <a16:creationId xmlns:a16="http://schemas.microsoft.com/office/drawing/2014/main" id="{00000000-0008-0000-0000-0000D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31" name="Picture 172" descr="http://www.conermex.com.mx/images/pdf-opt-gris.png">
          <a:extLst>
            <a:ext uri="{FF2B5EF4-FFF2-40B4-BE49-F238E27FC236}">
              <a16:creationId xmlns:a16="http://schemas.microsoft.com/office/drawing/2014/main" id="{00000000-0008-0000-0000-0000E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32" name="Picture 173" descr="http://www.conermex.com.mx/images/pdf-opt-gris.png">
          <a:extLst>
            <a:ext uri="{FF2B5EF4-FFF2-40B4-BE49-F238E27FC236}">
              <a16:creationId xmlns:a16="http://schemas.microsoft.com/office/drawing/2014/main" id="{00000000-0008-0000-0000-0000E1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33" name="Picture 174" descr="http://www.conermex.com.mx/images/pdf-opt-gris.png">
          <a:extLst>
            <a:ext uri="{FF2B5EF4-FFF2-40B4-BE49-F238E27FC236}">
              <a16:creationId xmlns:a16="http://schemas.microsoft.com/office/drawing/2014/main" id="{00000000-0008-0000-0000-0000E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34" name="Picture 175" descr="http://www.conermex.com.mx/images/pdf-opt-gris.png">
          <a:extLst>
            <a:ext uri="{FF2B5EF4-FFF2-40B4-BE49-F238E27FC236}">
              <a16:creationId xmlns:a16="http://schemas.microsoft.com/office/drawing/2014/main" id="{00000000-0008-0000-0000-0000E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35" name="Picture 176" descr="http://www.conermex.com.mx/images/pdf-opt-gris.png">
          <a:extLst>
            <a:ext uri="{FF2B5EF4-FFF2-40B4-BE49-F238E27FC236}">
              <a16:creationId xmlns:a16="http://schemas.microsoft.com/office/drawing/2014/main" id="{00000000-0008-0000-0000-0000E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36" name="Picture 177" descr="http://www.conermex.com.mx/images/pdf-opt-gris.png">
          <a:extLst>
            <a:ext uri="{FF2B5EF4-FFF2-40B4-BE49-F238E27FC236}">
              <a16:creationId xmlns:a16="http://schemas.microsoft.com/office/drawing/2014/main" id="{00000000-0008-0000-0000-0000E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37" name="Picture 178" descr="http://www.conermex.com.mx/images/pdf-opt-gris.png">
          <a:extLst>
            <a:ext uri="{FF2B5EF4-FFF2-40B4-BE49-F238E27FC236}">
              <a16:creationId xmlns:a16="http://schemas.microsoft.com/office/drawing/2014/main" id="{00000000-0008-0000-0000-0000E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38" name="Picture 179" descr="http://www.conermex.com.mx/images/pdf-opt-gris.png">
          <a:extLst>
            <a:ext uri="{FF2B5EF4-FFF2-40B4-BE49-F238E27FC236}">
              <a16:creationId xmlns:a16="http://schemas.microsoft.com/office/drawing/2014/main" id="{00000000-0008-0000-0000-0000E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39" name="Picture 180" descr="http://www.conermex.com.mx/images/pdf-opt-gris.png">
          <a:extLst>
            <a:ext uri="{FF2B5EF4-FFF2-40B4-BE49-F238E27FC236}">
              <a16:creationId xmlns:a16="http://schemas.microsoft.com/office/drawing/2014/main" id="{00000000-0008-0000-0000-0000E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40" name="Picture 181" descr="http://www.conermex.com.mx/images/pdf-opt-gris.png">
          <a:extLst>
            <a:ext uri="{FF2B5EF4-FFF2-40B4-BE49-F238E27FC236}">
              <a16:creationId xmlns:a16="http://schemas.microsoft.com/office/drawing/2014/main" id="{00000000-0008-0000-0000-0000E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41" name="Picture 182" descr="http://www.conermex.com.mx/images/pdf-opt-gris.png">
          <a:extLst>
            <a:ext uri="{FF2B5EF4-FFF2-40B4-BE49-F238E27FC236}">
              <a16:creationId xmlns:a16="http://schemas.microsoft.com/office/drawing/2014/main" id="{00000000-0008-0000-0000-0000E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42" name="Picture 183" descr="http://www.conermex.com.mx/images/pdf-opt-gris.png">
          <a:extLst>
            <a:ext uri="{FF2B5EF4-FFF2-40B4-BE49-F238E27FC236}">
              <a16:creationId xmlns:a16="http://schemas.microsoft.com/office/drawing/2014/main" id="{00000000-0008-0000-0000-0000E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43" name="Picture 184" descr="http://www.conermex.com.mx/images/pdf-opt-gris.png">
          <a:extLst>
            <a:ext uri="{FF2B5EF4-FFF2-40B4-BE49-F238E27FC236}">
              <a16:creationId xmlns:a16="http://schemas.microsoft.com/office/drawing/2014/main" id="{00000000-0008-0000-0000-0000E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44" name="Picture 185" descr="http://www.conermex.com.mx/images/pdf-opt-gris.png">
          <a:extLst>
            <a:ext uri="{FF2B5EF4-FFF2-40B4-BE49-F238E27FC236}">
              <a16:creationId xmlns:a16="http://schemas.microsoft.com/office/drawing/2014/main" id="{00000000-0008-0000-0000-0000E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45" name="Picture 186" descr="http://www.conermex.com.mx/images/pdf-opt-gris.png">
          <a:extLst>
            <a:ext uri="{FF2B5EF4-FFF2-40B4-BE49-F238E27FC236}">
              <a16:creationId xmlns:a16="http://schemas.microsoft.com/office/drawing/2014/main" id="{00000000-0008-0000-0000-0000E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46" name="Picture 187" descr="http://www.conermex.com.mx/images/pdf-opt-gris.png">
          <a:extLst>
            <a:ext uri="{FF2B5EF4-FFF2-40B4-BE49-F238E27FC236}">
              <a16:creationId xmlns:a16="http://schemas.microsoft.com/office/drawing/2014/main" id="{00000000-0008-0000-0000-0000E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47" name="Picture 188" descr="http://www.conermex.com.mx/images/pdf-opt-gris.png">
          <a:extLst>
            <a:ext uri="{FF2B5EF4-FFF2-40B4-BE49-F238E27FC236}">
              <a16:creationId xmlns:a16="http://schemas.microsoft.com/office/drawing/2014/main" id="{00000000-0008-0000-0000-0000F0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48" name="Picture 189" descr="http://www.conermex.com.mx/images/pdf-opt-gris.png">
          <a:extLst>
            <a:ext uri="{FF2B5EF4-FFF2-40B4-BE49-F238E27FC236}">
              <a16:creationId xmlns:a16="http://schemas.microsoft.com/office/drawing/2014/main" id="{00000000-0008-0000-0000-0000F1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49" name="Picture 190" descr="http://www.conermex.com.mx/images/pdf-opt-gris.png">
          <a:extLst>
            <a:ext uri="{FF2B5EF4-FFF2-40B4-BE49-F238E27FC236}">
              <a16:creationId xmlns:a16="http://schemas.microsoft.com/office/drawing/2014/main" id="{00000000-0008-0000-0000-0000F2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50" name="Picture 191" descr="http://www.conermex.com.mx/images/pdf-opt-gris.png">
          <a:extLst>
            <a:ext uri="{FF2B5EF4-FFF2-40B4-BE49-F238E27FC236}">
              <a16:creationId xmlns:a16="http://schemas.microsoft.com/office/drawing/2014/main" id="{00000000-0008-0000-0000-0000F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51" name="Picture 192" descr="http://www.conermex.com.mx/images/pdf-opt-gris.png">
          <a:extLst>
            <a:ext uri="{FF2B5EF4-FFF2-40B4-BE49-F238E27FC236}">
              <a16:creationId xmlns:a16="http://schemas.microsoft.com/office/drawing/2014/main" id="{00000000-0008-0000-0000-0000F4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52" name="Picture 193" descr="http://www.conermex.com.mx/images/pdf-opt-gris.png">
          <a:extLst>
            <a:ext uri="{FF2B5EF4-FFF2-40B4-BE49-F238E27FC236}">
              <a16:creationId xmlns:a16="http://schemas.microsoft.com/office/drawing/2014/main" id="{00000000-0008-0000-0000-0000F5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53" name="Picture 194" descr="http://www.conermex.com.mx/images/pdf-opt-gris.png">
          <a:extLst>
            <a:ext uri="{FF2B5EF4-FFF2-40B4-BE49-F238E27FC236}">
              <a16:creationId xmlns:a16="http://schemas.microsoft.com/office/drawing/2014/main" id="{00000000-0008-0000-0000-0000F6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54" name="Picture 195" descr="http://www.conermex.com.mx/images/pdf-opt-gris.png">
          <a:extLst>
            <a:ext uri="{FF2B5EF4-FFF2-40B4-BE49-F238E27FC236}">
              <a16:creationId xmlns:a16="http://schemas.microsoft.com/office/drawing/2014/main" id="{00000000-0008-0000-0000-0000F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55" name="Picture 196" descr="http://www.conermex.com.mx/images/pdf-opt-gris.png">
          <a:extLst>
            <a:ext uri="{FF2B5EF4-FFF2-40B4-BE49-F238E27FC236}">
              <a16:creationId xmlns:a16="http://schemas.microsoft.com/office/drawing/2014/main" id="{00000000-0008-0000-0000-0000F8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56" name="Picture 197" descr="http://www.conermex.com.mx/images/pdf-opt-gris.png">
          <a:extLst>
            <a:ext uri="{FF2B5EF4-FFF2-40B4-BE49-F238E27FC236}">
              <a16:creationId xmlns:a16="http://schemas.microsoft.com/office/drawing/2014/main" id="{00000000-0008-0000-0000-0000F9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57" name="Picture 198" descr="http://www.conermex.com.mx/images/pdf-opt-gris.png">
          <a:extLst>
            <a:ext uri="{FF2B5EF4-FFF2-40B4-BE49-F238E27FC236}">
              <a16:creationId xmlns:a16="http://schemas.microsoft.com/office/drawing/2014/main" id="{00000000-0008-0000-0000-0000FA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58" name="Picture 199" descr="http://www.conermex.com.mx/images/pdf-opt-gris.png">
          <a:extLst>
            <a:ext uri="{FF2B5EF4-FFF2-40B4-BE49-F238E27FC236}">
              <a16:creationId xmlns:a16="http://schemas.microsoft.com/office/drawing/2014/main" id="{00000000-0008-0000-0000-0000FB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59" name="Picture 200" descr="http://www.conermex.com.mx/images/pdf-opt-gris.png">
          <a:extLst>
            <a:ext uri="{FF2B5EF4-FFF2-40B4-BE49-F238E27FC236}">
              <a16:creationId xmlns:a16="http://schemas.microsoft.com/office/drawing/2014/main" id="{00000000-0008-0000-0000-0000FC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60" name="Picture 201" descr="http://www.conermex.com.mx/images/pdf-opt-gris.png">
          <a:extLst>
            <a:ext uri="{FF2B5EF4-FFF2-40B4-BE49-F238E27FC236}">
              <a16:creationId xmlns:a16="http://schemas.microsoft.com/office/drawing/2014/main" id="{00000000-0008-0000-0000-0000FD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61" name="Picture 202" descr="http://www.conermex.com.mx/images/pdf-opt-gris.png">
          <a:extLst>
            <a:ext uri="{FF2B5EF4-FFF2-40B4-BE49-F238E27FC236}">
              <a16:creationId xmlns:a16="http://schemas.microsoft.com/office/drawing/2014/main" id="{00000000-0008-0000-0000-0000FE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62" name="Picture 203" descr="http://www.conermex.com.mx/images/pdf-opt-gris.png">
          <a:extLst>
            <a:ext uri="{FF2B5EF4-FFF2-40B4-BE49-F238E27FC236}">
              <a16:creationId xmlns:a16="http://schemas.microsoft.com/office/drawing/2014/main" id="{00000000-0008-0000-0000-0000FF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63" name="Picture 204" descr="http://www.conermex.com.mx/images/pdf-opt-gris.png">
          <a:extLst>
            <a:ext uri="{FF2B5EF4-FFF2-40B4-BE49-F238E27FC236}">
              <a16:creationId xmlns:a16="http://schemas.microsoft.com/office/drawing/2014/main" id="{00000000-0008-0000-0000-00000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64" name="Picture 205" descr="http://www.conermex.com.mx/images/pdf-opt-gris.png">
          <a:extLst>
            <a:ext uri="{FF2B5EF4-FFF2-40B4-BE49-F238E27FC236}">
              <a16:creationId xmlns:a16="http://schemas.microsoft.com/office/drawing/2014/main" id="{00000000-0008-0000-0000-00000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65" name="Picture 206" descr="http://www.conermex.com.mx/images/pdf-opt-gris.png">
          <a:extLst>
            <a:ext uri="{FF2B5EF4-FFF2-40B4-BE49-F238E27FC236}">
              <a16:creationId xmlns:a16="http://schemas.microsoft.com/office/drawing/2014/main" id="{00000000-0008-0000-0000-00000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66" name="Picture 207" descr="http://www.conermex.com.mx/images/pdf-opt-gris.png">
          <a:extLst>
            <a:ext uri="{FF2B5EF4-FFF2-40B4-BE49-F238E27FC236}">
              <a16:creationId xmlns:a16="http://schemas.microsoft.com/office/drawing/2014/main" id="{00000000-0008-0000-0000-00000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67" name="Picture 208" descr="http://www.conermex.com.mx/images/pdf-opt-gris.png">
          <a:extLst>
            <a:ext uri="{FF2B5EF4-FFF2-40B4-BE49-F238E27FC236}">
              <a16:creationId xmlns:a16="http://schemas.microsoft.com/office/drawing/2014/main" id="{00000000-0008-0000-0000-00000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68" name="Picture 209" descr="http://www.conermex.com.mx/images/pdf-opt-gris.png">
          <a:extLst>
            <a:ext uri="{FF2B5EF4-FFF2-40B4-BE49-F238E27FC236}">
              <a16:creationId xmlns:a16="http://schemas.microsoft.com/office/drawing/2014/main" id="{00000000-0008-0000-0000-00000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69" name="Picture 210" descr="http://www.conermex.com.mx/images/pdf-opt-gris.png">
          <a:extLst>
            <a:ext uri="{FF2B5EF4-FFF2-40B4-BE49-F238E27FC236}">
              <a16:creationId xmlns:a16="http://schemas.microsoft.com/office/drawing/2014/main" id="{00000000-0008-0000-0000-00000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70" name="Picture 211" descr="http://www.conermex.com.mx/images/pdf-opt-gris.png">
          <a:extLst>
            <a:ext uri="{FF2B5EF4-FFF2-40B4-BE49-F238E27FC236}">
              <a16:creationId xmlns:a16="http://schemas.microsoft.com/office/drawing/2014/main" id="{00000000-0008-0000-0000-00000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71" name="Picture 212" descr="http://www.conermex.com.mx/images/pdf-opt-gris.png">
          <a:extLst>
            <a:ext uri="{FF2B5EF4-FFF2-40B4-BE49-F238E27FC236}">
              <a16:creationId xmlns:a16="http://schemas.microsoft.com/office/drawing/2014/main" id="{00000000-0008-0000-0000-00000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72" name="Picture 213" descr="http://www.conermex.com.mx/images/pdf-opt-gris.png">
          <a:extLst>
            <a:ext uri="{FF2B5EF4-FFF2-40B4-BE49-F238E27FC236}">
              <a16:creationId xmlns:a16="http://schemas.microsoft.com/office/drawing/2014/main" id="{00000000-0008-0000-0000-00000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73" name="Picture 214" descr="http://www.conermex.com.mx/images/pdf-opt-gris.png">
          <a:extLst>
            <a:ext uri="{FF2B5EF4-FFF2-40B4-BE49-F238E27FC236}">
              <a16:creationId xmlns:a16="http://schemas.microsoft.com/office/drawing/2014/main" id="{00000000-0008-0000-0000-00000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74" name="Picture 215" descr="http://www.conermex.com.mx/images/pdf-opt-gris.png">
          <a:extLst>
            <a:ext uri="{FF2B5EF4-FFF2-40B4-BE49-F238E27FC236}">
              <a16:creationId xmlns:a16="http://schemas.microsoft.com/office/drawing/2014/main" id="{00000000-0008-0000-0000-00000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75" name="Picture 216" descr="http://www.conermex.com.mx/images/pdf-opt-gris.png">
          <a:extLst>
            <a:ext uri="{FF2B5EF4-FFF2-40B4-BE49-F238E27FC236}">
              <a16:creationId xmlns:a16="http://schemas.microsoft.com/office/drawing/2014/main" id="{00000000-0008-0000-0000-00000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76" name="Picture 217" descr="http://www.conermex.com.mx/images/pdf-opt-gris.png">
          <a:extLst>
            <a:ext uri="{FF2B5EF4-FFF2-40B4-BE49-F238E27FC236}">
              <a16:creationId xmlns:a16="http://schemas.microsoft.com/office/drawing/2014/main" id="{00000000-0008-0000-0000-00000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77" name="Picture 218" descr="http://www.conermex.com.mx/images/pdf-opt-gris.png">
          <a:extLst>
            <a:ext uri="{FF2B5EF4-FFF2-40B4-BE49-F238E27FC236}">
              <a16:creationId xmlns:a16="http://schemas.microsoft.com/office/drawing/2014/main" id="{00000000-0008-0000-0000-00000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78" name="Picture 219" descr="http://www.conermex.com.mx/images/pdf-opt-gris.png">
          <a:extLst>
            <a:ext uri="{FF2B5EF4-FFF2-40B4-BE49-F238E27FC236}">
              <a16:creationId xmlns:a16="http://schemas.microsoft.com/office/drawing/2014/main" id="{00000000-0008-0000-0000-00000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79" name="Picture 220" descr="http://www.conermex.com.mx/images/pdf-opt-gris.png">
          <a:extLst>
            <a:ext uri="{FF2B5EF4-FFF2-40B4-BE49-F238E27FC236}">
              <a16:creationId xmlns:a16="http://schemas.microsoft.com/office/drawing/2014/main" id="{00000000-0008-0000-0000-00001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80" name="Picture 221" descr="http://www.conermex.com.mx/images/pdf-opt-gris.png">
          <a:extLst>
            <a:ext uri="{FF2B5EF4-FFF2-40B4-BE49-F238E27FC236}">
              <a16:creationId xmlns:a16="http://schemas.microsoft.com/office/drawing/2014/main" id="{00000000-0008-0000-0000-00001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81" name="Picture 222" descr="http://www.conermex.com.mx/images/pdf-opt-gris.png">
          <a:extLst>
            <a:ext uri="{FF2B5EF4-FFF2-40B4-BE49-F238E27FC236}">
              <a16:creationId xmlns:a16="http://schemas.microsoft.com/office/drawing/2014/main" id="{00000000-0008-0000-0000-00001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82" name="Picture 223" descr="http://www.conermex.com.mx/images/pdf-opt-gris.png">
          <a:extLst>
            <a:ext uri="{FF2B5EF4-FFF2-40B4-BE49-F238E27FC236}">
              <a16:creationId xmlns:a16="http://schemas.microsoft.com/office/drawing/2014/main" id="{00000000-0008-0000-0000-00001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83" name="Picture 224" descr="http://www.conermex.com.mx/images/pdf-opt-gris.png">
          <a:extLst>
            <a:ext uri="{FF2B5EF4-FFF2-40B4-BE49-F238E27FC236}">
              <a16:creationId xmlns:a16="http://schemas.microsoft.com/office/drawing/2014/main" id="{00000000-0008-0000-0000-00001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84" name="Picture 225" descr="http://www.conermex.com.mx/images/pdf-opt-gris.png">
          <a:extLst>
            <a:ext uri="{FF2B5EF4-FFF2-40B4-BE49-F238E27FC236}">
              <a16:creationId xmlns:a16="http://schemas.microsoft.com/office/drawing/2014/main" id="{00000000-0008-0000-0000-00001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85" name="Picture 226" descr="http://www.conermex.com.mx/images/pdf-opt-gris.png">
          <a:extLst>
            <a:ext uri="{FF2B5EF4-FFF2-40B4-BE49-F238E27FC236}">
              <a16:creationId xmlns:a16="http://schemas.microsoft.com/office/drawing/2014/main" id="{00000000-0008-0000-0000-00001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86" name="Picture 227" descr="http://www.conermex.com.mx/images/pdf-opt-gris.png">
          <a:extLst>
            <a:ext uri="{FF2B5EF4-FFF2-40B4-BE49-F238E27FC236}">
              <a16:creationId xmlns:a16="http://schemas.microsoft.com/office/drawing/2014/main" id="{00000000-0008-0000-0000-00001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87" name="Picture 228" descr="http://www.conermex.com.mx/images/pdf-opt-gris.png">
          <a:extLst>
            <a:ext uri="{FF2B5EF4-FFF2-40B4-BE49-F238E27FC236}">
              <a16:creationId xmlns:a16="http://schemas.microsoft.com/office/drawing/2014/main" id="{00000000-0008-0000-0000-00001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88" name="Picture 229" descr="http://www.conermex.com.mx/images/pdf-opt-gris.png">
          <a:extLst>
            <a:ext uri="{FF2B5EF4-FFF2-40B4-BE49-F238E27FC236}">
              <a16:creationId xmlns:a16="http://schemas.microsoft.com/office/drawing/2014/main" id="{00000000-0008-0000-0000-00001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89" name="Picture 230" descr="http://www.conermex.com.mx/images/pdf-opt-gris.png">
          <a:extLst>
            <a:ext uri="{FF2B5EF4-FFF2-40B4-BE49-F238E27FC236}">
              <a16:creationId xmlns:a16="http://schemas.microsoft.com/office/drawing/2014/main" id="{00000000-0008-0000-0000-00001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90" name="Picture 231" descr="http://www.conermex.com.mx/images/pdf-opt-gris.png">
          <a:extLst>
            <a:ext uri="{FF2B5EF4-FFF2-40B4-BE49-F238E27FC236}">
              <a16:creationId xmlns:a16="http://schemas.microsoft.com/office/drawing/2014/main" id="{00000000-0008-0000-0000-00001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91" name="Picture 232" descr="http://www.conermex.com.mx/images/pdf-opt-gris.png">
          <a:extLst>
            <a:ext uri="{FF2B5EF4-FFF2-40B4-BE49-F238E27FC236}">
              <a16:creationId xmlns:a16="http://schemas.microsoft.com/office/drawing/2014/main" id="{00000000-0008-0000-0000-00001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92" name="Picture 233" descr="http://www.conermex.com.mx/images/pdf-opt-gris.png">
          <a:extLst>
            <a:ext uri="{FF2B5EF4-FFF2-40B4-BE49-F238E27FC236}">
              <a16:creationId xmlns:a16="http://schemas.microsoft.com/office/drawing/2014/main" id="{00000000-0008-0000-0000-00001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93" name="Picture 234" descr="http://www.conermex.com.mx/images/pdf-opt-gris.png">
          <a:extLst>
            <a:ext uri="{FF2B5EF4-FFF2-40B4-BE49-F238E27FC236}">
              <a16:creationId xmlns:a16="http://schemas.microsoft.com/office/drawing/2014/main" id="{00000000-0008-0000-0000-00001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94" name="Picture 235" descr="http://www.conermex.com.mx/images/pdf-opt-gris.png">
          <a:extLst>
            <a:ext uri="{FF2B5EF4-FFF2-40B4-BE49-F238E27FC236}">
              <a16:creationId xmlns:a16="http://schemas.microsoft.com/office/drawing/2014/main" id="{00000000-0008-0000-0000-00001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95" name="Picture 236" descr="http://www.conermex.com.mx/images/pdf-opt.png">
          <a:hlinkClick xmlns:r="http://schemas.openxmlformats.org/officeDocument/2006/relationships" r:id="rId8" tgtFrame="_blank"/>
          <a:extLst>
            <a:ext uri="{FF2B5EF4-FFF2-40B4-BE49-F238E27FC236}">
              <a16:creationId xmlns:a16="http://schemas.microsoft.com/office/drawing/2014/main" id="{00000000-0008-0000-0000-000020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96" name="Picture 237" descr="http://www.conermex.com.mx/images/pdf-opt.png">
          <a:hlinkClick xmlns:r="http://schemas.openxmlformats.org/officeDocument/2006/relationships" r:id="rId9" tgtFrame="_blank"/>
          <a:extLst>
            <a:ext uri="{FF2B5EF4-FFF2-40B4-BE49-F238E27FC236}">
              <a16:creationId xmlns:a16="http://schemas.microsoft.com/office/drawing/2014/main" id="{00000000-0008-0000-0000-000021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97" name="Picture 238" descr="http://www.conermex.com.mx/images/pdf-opt-gris.png">
          <a:extLst>
            <a:ext uri="{FF2B5EF4-FFF2-40B4-BE49-F238E27FC236}">
              <a16:creationId xmlns:a16="http://schemas.microsoft.com/office/drawing/2014/main" id="{00000000-0008-0000-0000-00002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98" name="Picture 239" descr="http://www.conermex.com.mx/images/pdf-opt-gris.png">
          <a:extLst>
            <a:ext uri="{FF2B5EF4-FFF2-40B4-BE49-F238E27FC236}">
              <a16:creationId xmlns:a16="http://schemas.microsoft.com/office/drawing/2014/main" id="{00000000-0008-0000-0000-00002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899" name="Picture 240" descr="http://www.conermex.com.mx/images/pdf-opt-gris.png">
          <a:extLst>
            <a:ext uri="{FF2B5EF4-FFF2-40B4-BE49-F238E27FC236}">
              <a16:creationId xmlns:a16="http://schemas.microsoft.com/office/drawing/2014/main" id="{00000000-0008-0000-0000-00002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00" name="Picture 241" descr="http://www.conermex.com.mx/images/pdf-opt.png">
          <a:hlinkClick xmlns:r="http://schemas.openxmlformats.org/officeDocument/2006/relationships" r:id="rId10" tgtFrame="_blank"/>
          <a:extLst>
            <a:ext uri="{FF2B5EF4-FFF2-40B4-BE49-F238E27FC236}">
              <a16:creationId xmlns:a16="http://schemas.microsoft.com/office/drawing/2014/main" id="{00000000-0008-0000-0000-000025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01" name="Picture 242" descr="http://www.conermex.com.mx/images/pdf-opt.png">
          <a:hlinkClick xmlns:r="http://schemas.openxmlformats.org/officeDocument/2006/relationships" r:id="rId10" tgtFrame="_blank"/>
          <a:extLst>
            <a:ext uri="{FF2B5EF4-FFF2-40B4-BE49-F238E27FC236}">
              <a16:creationId xmlns:a16="http://schemas.microsoft.com/office/drawing/2014/main" id="{00000000-0008-0000-0000-000026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02" name="Picture 243" descr="http://www.conermex.com.mx/images/pdf-opt.png">
          <a:hlinkClick xmlns:r="http://schemas.openxmlformats.org/officeDocument/2006/relationships" r:id="rId11" tgtFrame="_blank"/>
          <a:extLst>
            <a:ext uri="{FF2B5EF4-FFF2-40B4-BE49-F238E27FC236}">
              <a16:creationId xmlns:a16="http://schemas.microsoft.com/office/drawing/2014/main" id="{00000000-0008-0000-0000-000027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03" name="Picture 244" descr="http://www.conermex.com.mx/images/pdf-opt.png">
          <a:hlinkClick xmlns:r="http://schemas.openxmlformats.org/officeDocument/2006/relationships" r:id="rId11" tgtFrame="_blank"/>
          <a:extLst>
            <a:ext uri="{FF2B5EF4-FFF2-40B4-BE49-F238E27FC236}">
              <a16:creationId xmlns:a16="http://schemas.microsoft.com/office/drawing/2014/main" id="{00000000-0008-0000-0000-000028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04" name="Picture 245" descr="http://www.conermex.com.mx/images/pdf-opt.png">
          <a:hlinkClick xmlns:r="http://schemas.openxmlformats.org/officeDocument/2006/relationships" r:id="rId11" tgtFrame="_blank"/>
          <a:extLst>
            <a:ext uri="{FF2B5EF4-FFF2-40B4-BE49-F238E27FC236}">
              <a16:creationId xmlns:a16="http://schemas.microsoft.com/office/drawing/2014/main" id="{00000000-0008-0000-0000-000029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05" name="Picture 246" descr="http://www.conermex.com.mx/images/pdf-opt-gris.png">
          <a:hlinkClick xmlns:r="http://schemas.openxmlformats.org/officeDocument/2006/relationships" r:id="rId10" tgtFrame="_blank"/>
          <a:extLst>
            <a:ext uri="{FF2B5EF4-FFF2-40B4-BE49-F238E27FC236}">
              <a16:creationId xmlns:a16="http://schemas.microsoft.com/office/drawing/2014/main" id="{00000000-0008-0000-0000-00002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06" name="Picture 247" descr="http://www.conermex.com.mx/images/pdf-opt-gris.png">
          <a:hlinkClick xmlns:r="http://schemas.openxmlformats.org/officeDocument/2006/relationships" r:id="rId10" tgtFrame="_blank"/>
          <a:extLst>
            <a:ext uri="{FF2B5EF4-FFF2-40B4-BE49-F238E27FC236}">
              <a16:creationId xmlns:a16="http://schemas.microsoft.com/office/drawing/2014/main" id="{00000000-0008-0000-0000-00002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07" name="Picture 248" descr="http://www.conermex.com.mx/images/pdf-opt-gris.png">
          <a:extLst>
            <a:ext uri="{FF2B5EF4-FFF2-40B4-BE49-F238E27FC236}">
              <a16:creationId xmlns:a16="http://schemas.microsoft.com/office/drawing/2014/main" id="{00000000-0008-0000-0000-00002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08" name="Picture 249" descr="http://www.conermex.com.mx/images/pdf-opt-gris.png">
          <a:extLst>
            <a:ext uri="{FF2B5EF4-FFF2-40B4-BE49-F238E27FC236}">
              <a16:creationId xmlns:a16="http://schemas.microsoft.com/office/drawing/2014/main" id="{00000000-0008-0000-0000-00002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09" name="Picture 250" descr="http://www.conermex.com.mx/images/pdf-opt.png">
          <a:hlinkClick xmlns:r="http://schemas.openxmlformats.org/officeDocument/2006/relationships" r:id="rId12" tgtFrame="_blank"/>
          <a:extLst>
            <a:ext uri="{FF2B5EF4-FFF2-40B4-BE49-F238E27FC236}">
              <a16:creationId xmlns:a16="http://schemas.microsoft.com/office/drawing/2014/main" id="{00000000-0008-0000-0000-00002E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10" name="Picture 251" descr="http://www.conermex.com.mx/images/pdf-opt.png">
          <a:hlinkClick xmlns:r="http://schemas.openxmlformats.org/officeDocument/2006/relationships" r:id="rId13" tgtFrame="_blank"/>
          <a:extLst>
            <a:ext uri="{FF2B5EF4-FFF2-40B4-BE49-F238E27FC236}">
              <a16:creationId xmlns:a16="http://schemas.microsoft.com/office/drawing/2014/main" id="{00000000-0008-0000-0000-00002F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11" name="Picture 252" descr="http://www.conermex.com.mx/images/pdf-opt.png">
          <a:hlinkClick xmlns:r="http://schemas.openxmlformats.org/officeDocument/2006/relationships" r:id="rId13" tgtFrame="_blank"/>
          <a:extLst>
            <a:ext uri="{FF2B5EF4-FFF2-40B4-BE49-F238E27FC236}">
              <a16:creationId xmlns:a16="http://schemas.microsoft.com/office/drawing/2014/main" id="{00000000-0008-0000-0000-000030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12" name="Picture 114" descr="http://www.conermex.com.mx/images/pdf-opt.png">
          <a:hlinkClick xmlns:r="http://schemas.openxmlformats.org/officeDocument/2006/relationships" r:id="rId14" tgtFrame="_blank"/>
          <a:extLst>
            <a:ext uri="{FF2B5EF4-FFF2-40B4-BE49-F238E27FC236}">
              <a16:creationId xmlns:a16="http://schemas.microsoft.com/office/drawing/2014/main" id="{00000000-0008-0000-0000-000032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13" name="Picture 115" descr="http://www.conermex.com.mx/images/pdf-opt.png">
          <a:hlinkClick xmlns:r="http://schemas.openxmlformats.org/officeDocument/2006/relationships" r:id="rId15" tgtFrame="_blank"/>
          <a:extLst>
            <a:ext uri="{FF2B5EF4-FFF2-40B4-BE49-F238E27FC236}">
              <a16:creationId xmlns:a16="http://schemas.microsoft.com/office/drawing/2014/main" id="{00000000-0008-0000-0000-000033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14" name="Picture 116" descr="http://www.conermex.com.mx/images/pdf-opt.png">
          <a:hlinkClick xmlns:r="http://schemas.openxmlformats.org/officeDocument/2006/relationships" r:id="rId16" tgtFrame="_blank"/>
          <a:extLst>
            <a:ext uri="{FF2B5EF4-FFF2-40B4-BE49-F238E27FC236}">
              <a16:creationId xmlns:a16="http://schemas.microsoft.com/office/drawing/2014/main" id="{00000000-0008-0000-0000-000034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15" name="Picture 117" descr="http://www.conermex.com.mx/images/pdf-opt.png">
          <a:hlinkClick xmlns:r="http://schemas.openxmlformats.org/officeDocument/2006/relationships" r:id="rId17" tgtFrame="_blank"/>
          <a:extLst>
            <a:ext uri="{FF2B5EF4-FFF2-40B4-BE49-F238E27FC236}">
              <a16:creationId xmlns:a16="http://schemas.microsoft.com/office/drawing/2014/main" id="{00000000-0008-0000-0000-000035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16" name="Picture 118" descr="http://www.conermex.com.mx/images/pdf-opt.png">
          <a:hlinkClick xmlns:r="http://schemas.openxmlformats.org/officeDocument/2006/relationships" r:id="rId18" tgtFrame="_blank"/>
          <a:extLst>
            <a:ext uri="{FF2B5EF4-FFF2-40B4-BE49-F238E27FC236}">
              <a16:creationId xmlns:a16="http://schemas.microsoft.com/office/drawing/2014/main" id="{00000000-0008-0000-0000-000036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17" name="Picture 119" descr="http://www.conermex.com.mx/images/pdf-opt.png">
          <a:hlinkClick xmlns:r="http://schemas.openxmlformats.org/officeDocument/2006/relationships" r:id="rId19" tgtFrame="_blank"/>
          <a:extLst>
            <a:ext uri="{FF2B5EF4-FFF2-40B4-BE49-F238E27FC236}">
              <a16:creationId xmlns:a16="http://schemas.microsoft.com/office/drawing/2014/main" id="{00000000-0008-0000-0000-000037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18" name="Picture 120" descr="http://www.conermex.com.mx/images/pdf-opt-gris.png">
          <a:extLst>
            <a:ext uri="{FF2B5EF4-FFF2-40B4-BE49-F238E27FC236}">
              <a16:creationId xmlns:a16="http://schemas.microsoft.com/office/drawing/2014/main" id="{00000000-0008-0000-0000-00003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19" name="Picture 121" descr="http://www.conermex.com.mx/images/pdf-opt.png">
          <a:hlinkClick xmlns:r="http://schemas.openxmlformats.org/officeDocument/2006/relationships" r:id="rId20"/>
          <a:extLst>
            <a:ext uri="{FF2B5EF4-FFF2-40B4-BE49-F238E27FC236}">
              <a16:creationId xmlns:a16="http://schemas.microsoft.com/office/drawing/2014/main" id="{00000000-0008-0000-0000-000039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20" name="Picture 122" descr="http://www.conermex.com.mx/images/pdf-opt-gris.png">
          <a:extLst>
            <a:ext uri="{FF2B5EF4-FFF2-40B4-BE49-F238E27FC236}">
              <a16:creationId xmlns:a16="http://schemas.microsoft.com/office/drawing/2014/main" id="{00000000-0008-0000-0000-00003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21" name="Picture 123" descr="http://www.conermex.com.mx/images/pdf-opt-gris.png">
          <a:extLst>
            <a:ext uri="{FF2B5EF4-FFF2-40B4-BE49-F238E27FC236}">
              <a16:creationId xmlns:a16="http://schemas.microsoft.com/office/drawing/2014/main" id="{00000000-0008-0000-0000-00003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22" name="Picture 124" descr="http://www.conermex.com.mx/images/pdf-opt-gris.png">
          <a:extLst>
            <a:ext uri="{FF2B5EF4-FFF2-40B4-BE49-F238E27FC236}">
              <a16:creationId xmlns:a16="http://schemas.microsoft.com/office/drawing/2014/main" id="{00000000-0008-0000-0000-00003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23" name="Picture 125"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3D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24" name="Picture 126"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3E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25" name="Picture 127"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3F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26" name="Picture 128"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40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27" name="Picture 129" descr="http://www.conermex.com.mx/images/pdf-opt-gris.png">
          <a:extLst>
            <a:ext uri="{FF2B5EF4-FFF2-40B4-BE49-F238E27FC236}">
              <a16:creationId xmlns:a16="http://schemas.microsoft.com/office/drawing/2014/main" id="{00000000-0008-0000-0000-00004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28" name="Picture 130"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42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29" name="Picture 131"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43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30" name="Picture 132"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44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31" name="Picture 133"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45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32" name="Picture 134" descr="http://www.conermex.com.mx/images/pdf-opt.png">
          <a:hlinkClick xmlns:r="http://schemas.openxmlformats.org/officeDocument/2006/relationships" r:id="rId5" tgtFrame="_blank"/>
          <a:extLst>
            <a:ext uri="{FF2B5EF4-FFF2-40B4-BE49-F238E27FC236}">
              <a16:creationId xmlns:a16="http://schemas.microsoft.com/office/drawing/2014/main" id="{00000000-0008-0000-0000-000046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33" name="Picture 135" descr="http://www.conermex.com.mx/images/pdf-opt.png">
          <a:hlinkClick xmlns:r="http://schemas.openxmlformats.org/officeDocument/2006/relationships" r:id="rId5" tgtFrame="_blank"/>
          <a:extLst>
            <a:ext uri="{FF2B5EF4-FFF2-40B4-BE49-F238E27FC236}">
              <a16:creationId xmlns:a16="http://schemas.microsoft.com/office/drawing/2014/main" id="{00000000-0008-0000-0000-000047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34" name="Picture 136"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48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35" name="Picture 137"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49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36" name="Picture 138"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4A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37" name="Picture 139"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4B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38" name="Picture 140"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4C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39" name="Picture 141"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4D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40" name="Picture 142"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4E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41" name="Picture 143" descr="http://www.conermex.com.mx/images/pdf-opt.png">
          <a:hlinkClick xmlns:r="http://schemas.openxmlformats.org/officeDocument/2006/relationships" r:id="rId8" tgtFrame="_blank"/>
          <a:extLst>
            <a:ext uri="{FF2B5EF4-FFF2-40B4-BE49-F238E27FC236}">
              <a16:creationId xmlns:a16="http://schemas.microsoft.com/office/drawing/2014/main" id="{00000000-0008-0000-0000-00004F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42" name="Picture 144" descr="http://www.conermex.com.mx/images/pdf-opt.png">
          <a:hlinkClick xmlns:r="http://schemas.openxmlformats.org/officeDocument/2006/relationships" r:id="rId9" tgtFrame="_blank"/>
          <a:extLst>
            <a:ext uri="{FF2B5EF4-FFF2-40B4-BE49-F238E27FC236}">
              <a16:creationId xmlns:a16="http://schemas.microsoft.com/office/drawing/2014/main" id="{00000000-0008-0000-0000-000050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43" name="Picture 145" descr="http://www.conermex.com.mx/images/pdf-opt-gris.png">
          <a:extLst>
            <a:ext uri="{FF2B5EF4-FFF2-40B4-BE49-F238E27FC236}">
              <a16:creationId xmlns:a16="http://schemas.microsoft.com/office/drawing/2014/main" id="{00000000-0008-0000-0000-00005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44" name="Picture 146" descr="http://www.conermex.com.mx/images/pdf-opt-gris.png">
          <a:extLst>
            <a:ext uri="{FF2B5EF4-FFF2-40B4-BE49-F238E27FC236}">
              <a16:creationId xmlns:a16="http://schemas.microsoft.com/office/drawing/2014/main" id="{00000000-0008-0000-0000-00005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45" name="Picture 147" descr="http://www.conermex.com.mx/images/pdf-opt-gris.png">
          <a:extLst>
            <a:ext uri="{FF2B5EF4-FFF2-40B4-BE49-F238E27FC236}">
              <a16:creationId xmlns:a16="http://schemas.microsoft.com/office/drawing/2014/main" id="{00000000-0008-0000-0000-00005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46" name="Picture 148" descr="http://www.conermex.com.mx/images/pdf-opt-gris.png">
          <a:extLst>
            <a:ext uri="{FF2B5EF4-FFF2-40B4-BE49-F238E27FC236}">
              <a16:creationId xmlns:a16="http://schemas.microsoft.com/office/drawing/2014/main" id="{00000000-0008-0000-0000-00005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47" name="Picture 149" descr="http://www.conermex.com.mx/images/pdf-opt-gris.png">
          <a:extLst>
            <a:ext uri="{FF2B5EF4-FFF2-40B4-BE49-F238E27FC236}">
              <a16:creationId xmlns:a16="http://schemas.microsoft.com/office/drawing/2014/main" id="{00000000-0008-0000-0000-00005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48" name="Picture 150" descr="http://www.conermex.com.mx/images/pdf-opt-gris.png">
          <a:extLst>
            <a:ext uri="{FF2B5EF4-FFF2-40B4-BE49-F238E27FC236}">
              <a16:creationId xmlns:a16="http://schemas.microsoft.com/office/drawing/2014/main" id="{00000000-0008-0000-0000-00005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49" name="Picture 151" descr="http://www.conermex.com.mx/images/pdf-opt-gris.png">
          <a:extLst>
            <a:ext uri="{FF2B5EF4-FFF2-40B4-BE49-F238E27FC236}">
              <a16:creationId xmlns:a16="http://schemas.microsoft.com/office/drawing/2014/main" id="{00000000-0008-0000-0000-00005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50" name="Picture 152" descr="http://www.conermex.com.mx/images/pdf-opt-gris.png">
          <a:extLst>
            <a:ext uri="{FF2B5EF4-FFF2-40B4-BE49-F238E27FC236}">
              <a16:creationId xmlns:a16="http://schemas.microsoft.com/office/drawing/2014/main" id="{00000000-0008-0000-0000-00005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51" name="Picture 153" descr="http://www.conermex.com.mx/images/pdf-opt-gris.png">
          <a:extLst>
            <a:ext uri="{FF2B5EF4-FFF2-40B4-BE49-F238E27FC236}">
              <a16:creationId xmlns:a16="http://schemas.microsoft.com/office/drawing/2014/main" id="{00000000-0008-0000-0000-00005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52" name="Picture 154" descr="http://www.conermex.com.mx/images/pdf-opt-gris.png">
          <a:extLst>
            <a:ext uri="{FF2B5EF4-FFF2-40B4-BE49-F238E27FC236}">
              <a16:creationId xmlns:a16="http://schemas.microsoft.com/office/drawing/2014/main" id="{00000000-0008-0000-0000-00005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53" name="Picture 155" descr="http://www.conermex.com.mx/images/pdf-opt-gris.png">
          <a:extLst>
            <a:ext uri="{FF2B5EF4-FFF2-40B4-BE49-F238E27FC236}">
              <a16:creationId xmlns:a16="http://schemas.microsoft.com/office/drawing/2014/main" id="{00000000-0008-0000-0000-00005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54" name="Picture 156" descr="http://www.conermex.com.mx/images/pdf-opt-gris.png">
          <a:extLst>
            <a:ext uri="{FF2B5EF4-FFF2-40B4-BE49-F238E27FC236}">
              <a16:creationId xmlns:a16="http://schemas.microsoft.com/office/drawing/2014/main" id="{00000000-0008-0000-0000-00005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55" name="Picture 157" descr="http://www.conermex.com.mx/images/pdf-opt-gris.png">
          <a:extLst>
            <a:ext uri="{FF2B5EF4-FFF2-40B4-BE49-F238E27FC236}">
              <a16:creationId xmlns:a16="http://schemas.microsoft.com/office/drawing/2014/main" id="{00000000-0008-0000-0000-00005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56" name="Picture 158" descr="http://www.conermex.com.mx/images/pdf-opt-gris.png">
          <a:extLst>
            <a:ext uri="{FF2B5EF4-FFF2-40B4-BE49-F238E27FC236}">
              <a16:creationId xmlns:a16="http://schemas.microsoft.com/office/drawing/2014/main" id="{00000000-0008-0000-0000-00005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57" name="Picture 159" descr="http://www.conermex.com.mx/images/pdf-opt-gris.png">
          <a:extLst>
            <a:ext uri="{FF2B5EF4-FFF2-40B4-BE49-F238E27FC236}">
              <a16:creationId xmlns:a16="http://schemas.microsoft.com/office/drawing/2014/main" id="{00000000-0008-0000-0000-00005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58" name="Picture 160" descr="http://www.conermex.com.mx/images/pdf-opt-gris.png">
          <a:extLst>
            <a:ext uri="{FF2B5EF4-FFF2-40B4-BE49-F238E27FC236}">
              <a16:creationId xmlns:a16="http://schemas.microsoft.com/office/drawing/2014/main" id="{00000000-0008-0000-0000-00006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59" name="Picture 161" descr="http://www.conermex.com.mx/images/pdf-opt-gris.png">
          <a:extLst>
            <a:ext uri="{FF2B5EF4-FFF2-40B4-BE49-F238E27FC236}">
              <a16:creationId xmlns:a16="http://schemas.microsoft.com/office/drawing/2014/main" id="{00000000-0008-0000-0000-00006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60" name="Picture 162" descr="http://www.conermex.com.mx/images/pdf-opt-gris.png">
          <a:extLst>
            <a:ext uri="{FF2B5EF4-FFF2-40B4-BE49-F238E27FC236}">
              <a16:creationId xmlns:a16="http://schemas.microsoft.com/office/drawing/2014/main" id="{00000000-0008-0000-0000-00006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61" name="Picture 163" descr="http://www.conermex.com.mx/images/pdf-opt-gris.png">
          <a:extLst>
            <a:ext uri="{FF2B5EF4-FFF2-40B4-BE49-F238E27FC236}">
              <a16:creationId xmlns:a16="http://schemas.microsoft.com/office/drawing/2014/main" id="{00000000-0008-0000-0000-00006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62" name="Picture 164" descr="http://www.conermex.com.mx/images/pdf-opt-gris.png">
          <a:extLst>
            <a:ext uri="{FF2B5EF4-FFF2-40B4-BE49-F238E27FC236}">
              <a16:creationId xmlns:a16="http://schemas.microsoft.com/office/drawing/2014/main" id="{00000000-0008-0000-0000-00006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63" name="Picture 165" descr="http://www.conermex.com.mx/images/pdf-opt-gris.png">
          <a:extLst>
            <a:ext uri="{FF2B5EF4-FFF2-40B4-BE49-F238E27FC236}">
              <a16:creationId xmlns:a16="http://schemas.microsoft.com/office/drawing/2014/main" id="{00000000-0008-0000-0000-00006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64" name="Picture 166" descr="http://www.conermex.com.mx/images/pdf-opt-gris.png">
          <a:extLst>
            <a:ext uri="{FF2B5EF4-FFF2-40B4-BE49-F238E27FC236}">
              <a16:creationId xmlns:a16="http://schemas.microsoft.com/office/drawing/2014/main" id="{00000000-0008-0000-0000-00006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65" name="Picture 167" descr="http://www.conermex.com.mx/images/pdf-opt-gris.png">
          <a:extLst>
            <a:ext uri="{FF2B5EF4-FFF2-40B4-BE49-F238E27FC236}">
              <a16:creationId xmlns:a16="http://schemas.microsoft.com/office/drawing/2014/main" id="{00000000-0008-0000-0000-00006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66" name="Picture 168" descr="http://www.conermex.com.mx/images/pdf-opt-gris.png">
          <a:extLst>
            <a:ext uri="{FF2B5EF4-FFF2-40B4-BE49-F238E27FC236}">
              <a16:creationId xmlns:a16="http://schemas.microsoft.com/office/drawing/2014/main" id="{00000000-0008-0000-0000-00006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67" name="Picture 169" descr="http://www.conermex.com.mx/images/pdf-opt-gris.png">
          <a:extLst>
            <a:ext uri="{FF2B5EF4-FFF2-40B4-BE49-F238E27FC236}">
              <a16:creationId xmlns:a16="http://schemas.microsoft.com/office/drawing/2014/main" id="{00000000-0008-0000-0000-00006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68" name="Picture 170" descr="http://www.conermex.com.mx/images/pdf-opt-gris.png">
          <a:extLst>
            <a:ext uri="{FF2B5EF4-FFF2-40B4-BE49-F238E27FC236}">
              <a16:creationId xmlns:a16="http://schemas.microsoft.com/office/drawing/2014/main" id="{00000000-0008-0000-0000-00006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69" name="Picture 171" descr="http://www.conermex.com.mx/images/pdf-opt-gris.png">
          <a:extLst>
            <a:ext uri="{FF2B5EF4-FFF2-40B4-BE49-F238E27FC236}">
              <a16:creationId xmlns:a16="http://schemas.microsoft.com/office/drawing/2014/main" id="{00000000-0008-0000-0000-00006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70" name="Picture 172" descr="http://www.conermex.com.mx/images/pdf-opt-gris.png">
          <a:extLst>
            <a:ext uri="{FF2B5EF4-FFF2-40B4-BE49-F238E27FC236}">
              <a16:creationId xmlns:a16="http://schemas.microsoft.com/office/drawing/2014/main" id="{00000000-0008-0000-0000-00006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71" name="Picture 173" descr="http://www.conermex.com.mx/images/pdf-opt-gris.png">
          <a:extLst>
            <a:ext uri="{FF2B5EF4-FFF2-40B4-BE49-F238E27FC236}">
              <a16:creationId xmlns:a16="http://schemas.microsoft.com/office/drawing/2014/main" id="{00000000-0008-0000-0000-00006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72" name="Picture 174" descr="http://www.conermex.com.mx/images/pdf-opt-gris.png">
          <a:extLst>
            <a:ext uri="{FF2B5EF4-FFF2-40B4-BE49-F238E27FC236}">
              <a16:creationId xmlns:a16="http://schemas.microsoft.com/office/drawing/2014/main" id="{00000000-0008-0000-0000-00006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73" name="Picture 175" descr="http://www.conermex.com.mx/images/pdf-opt-gris.png">
          <a:extLst>
            <a:ext uri="{FF2B5EF4-FFF2-40B4-BE49-F238E27FC236}">
              <a16:creationId xmlns:a16="http://schemas.microsoft.com/office/drawing/2014/main" id="{00000000-0008-0000-0000-00006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74" name="Picture 176" descr="http://www.conermex.com.mx/images/pdf-opt-gris.png">
          <a:extLst>
            <a:ext uri="{FF2B5EF4-FFF2-40B4-BE49-F238E27FC236}">
              <a16:creationId xmlns:a16="http://schemas.microsoft.com/office/drawing/2014/main" id="{00000000-0008-0000-0000-00007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75" name="Picture 177" descr="http://www.conermex.com.mx/images/pdf-opt-gris.png">
          <a:extLst>
            <a:ext uri="{FF2B5EF4-FFF2-40B4-BE49-F238E27FC236}">
              <a16:creationId xmlns:a16="http://schemas.microsoft.com/office/drawing/2014/main" id="{00000000-0008-0000-0000-00007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76" name="Picture 178" descr="http://www.conermex.com.mx/images/pdf-opt-gris.png">
          <a:extLst>
            <a:ext uri="{FF2B5EF4-FFF2-40B4-BE49-F238E27FC236}">
              <a16:creationId xmlns:a16="http://schemas.microsoft.com/office/drawing/2014/main" id="{00000000-0008-0000-0000-00007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77" name="Picture 179" descr="http://www.conermex.com.mx/images/pdf-opt-gris.png">
          <a:extLst>
            <a:ext uri="{FF2B5EF4-FFF2-40B4-BE49-F238E27FC236}">
              <a16:creationId xmlns:a16="http://schemas.microsoft.com/office/drawing/2014/main" id="{00000000-0008-0000-0000-00007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78" name="Picture 180" descr="http://www.conermex.com.mx/images/pdf-opt-gris.png">
          <a:extLst>
            <a:ext uri="{FF2B5EF4-FFF2-40B4-BE49-F238E27FC236}">
              <a16:creationId xmlns:a16="http://schemas.microsoft.com/office/drawing/2014/main" id="{00000000-0008-0000-0000-00007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79" name="Picture 181" descr="http://www.conermex.com.mx/images/pdf-opt-gris.png">
          <a:extLst>
            <a:ext uri="{FF2B5EF4-FFF2-40B4-BE49-F238E27FC236}">
              <a16:creationId xmlns:a16="http://schemas.microsoft.com/office/drawing/2014/main" id="{00000000-0008-0000-0000-00007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80" name="Picture 182" descr="http://www.conermex.com.mx/images/pdf-opt-gris.png">
          <a:extLst>
            <a:ext uri="{FF2B5EF4-FFF2-40B4-BE49-F238E27FC236}">
              <a16:creationId xmlns:a16="http://schemas.microsoft.com/office/drawing/2014/main" id="{00000000-0008-0000-0000-00007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81" name="Picture 183" descr="http://www.conermex.com.mx/images/pdf-opt-gris.png">
          <a:extLst>
            <a:ext uri="{FF2B5EF4-FFF2-40B4-BE49-F238E27FC236}">
              <a16:creationId xmlns:a16="http://schemas.microsoft.com/office/drawing/2014/main" id="{00000000-0008-0000-0000-00007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82" name="Picture 184" descr="http://www.conermex.com.mx/images/pdf-opt-gris.png">
          <a:extLst>
            <a:ext uri="{FF2B5EF4-FFF2-40B4-BE49-F238E27FC236}">
              <a16:creationId xmlns:a16="http://schemas.microsoft.com/office/drawing/2014/main" id="{00000000-0008-0000-0000-00007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83" name="Picture 185" descr="http://www.conermex.com.mx/images/pdf-opt-gris.png">
          <a:extLst>
            <a:ext uri="{FF2B5EF4-FFF2-40B4-BE49-F238E27FC236}">
              <a16:creationId xmlns:a16="http://schemas.microsoft.com/office/drawing/2014/main" id="{00000000-0008-0000-0000-00007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84" name="Picture 186" descr="http://www.conermex.com.mx/images/pdf-opt-gris.png">
          <a:extLst>
            <a:ext uri="{FF2B5EF4-FFF2-40B4-BE49-F238E27FC236}">
              <a16:creationId xmlns:a16="http://schemas.microsoft.com/office/drawing/2014/main" id="{00000000-0008-0000-0000-00007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85" name="Picture 187" descr="http://www.conermex.com.mx/images/pdf-opt-gris.png">
          <a:extLst>
            <a:ext uri="{FF2B5EF4-FFF2-40B4-BE49-F238E27FC236}">
              <a16:creationId xmlns:a16="http://schemas.microsoft.com/office/drawing/2014/main" id="{00000000-0008-0000-0000-00007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86" name="Picture 188" descr="http://www.conermex.com.mx/images/pdf-opt-gris.png">
          <a:extLst>
            <a:ext uri="{FF2B5EF4-FFF2-40B4-BE49-F238E27FC236}">
              <a16:creationId xmlns:a16="http://schemas.microsoft.com/office/drawing/2014/main" id="{00000000-0008-0000-0000-00007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oneCellAnchor>
    <xdr:from>
      <xdr:col>0</xdr:col>
      <xdr:colOff>0</xdr:colOff>
      <xdr:row>1</xdr:row>
      <xdr:rowOff>0</xdr:rowOff>
    </xdr:from>
    <xdr:ext cx="285750" cy="275915"/>
    <xdr:pic>
      <xdr:nvPicPr>
        <xdr:cNvPr id="987" name="Picture 189" descr="http://www.conermex.com.mx/images/pdf-opt-gris.png">
          <a:extLst>
            <a:ext uri="{FF2B5EF4-FFF2-40B4-BE49-F238E27FC236}">
              <a16:creationId xmlns:a16="http://schemas.microsoft.com/office/drawing/2014/main" id="{00000000-0008-0000-0000-00007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5915"/>
        </a:xfrm>
        <a:prstGeom prst="rect">
          <a:avLst/>
        </a:prstGeom>
        <a:noFill/>
      </xdr:spPr>
    </xdr:pic>
    <xdr:clientData/>
  </xdr:oneCellAnchor>
  <xdr:twoCellAnchor editAs="oneCell">
    <xdr:from>
      <xdr:col>0</xdr:col>
      <xdr:colOff>0</xdr:colOff>
      <xdr:row>1</xdr:row>
      <xdr:rowOff>0</xdr:rowOff>
    </xdr:from>
    <xdr:to>
      <xdr:col>0</xdr:col>
      <xdr:colOff>285750</xdr:colOff>
      <xdr:row>1</xdr:row>
      <xdr:rowOff>274010</xdr:rowOff>
    </xdr:to>
    <xdr:pic>
      <xdr:nvPicPr>
        <xdr:cNvPr id="988" name="Picture 190" descr="http://www.conermex.com.mx/images/pdf-opt-gris.png">
          <a:extLst>
            <a:ext uri="{FF2B5EF4-FFF2-40B4-BE49-F238E27FC236}">
              <a16:creationId xmlns:a16="http://schemas.microsoft.com/office/drawing/2014/main" id="{00000000-0008-0000-0000-00007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989" name="Picture 191" descr="http://www.conermex.com.mx/images/pdf-opt-gris.png">
          <a:extLst>
            <a:ext uri="{FF2B5EF4-FFF2-40B4-BE49-F238E27FC236}">
              <a16:creationId xmlns:a16="http://schemas.microsoft.com/office/drawing/2014/main" id="{00000000-0008-0000-0000-00007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990" name="Picture 192" descr="http://www.conermex.com.mx/images/pdf-opt-gris.png">
          <a:extLst>
            <a:ext uri="{FF2B5EF4-FFF2-40B4-BE49-F238E27FC236}">
              <a16:creationId xmlns:a16="http://schemas.microsoft.com/office/drawing/2014/main" id="{00000000-0008-0000-0000-00008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991" name="Picture 193" descr="http://www.conermex.com.mx/images/pdf-opt-gris.png">
          <a:extLst>
            <a:ext uri="{FF2B5EF4-FFF2-40B4-BE49-F238E27FC236}">
              <a16:creationId xmlns:a16="http://schemas.microsoft.com/office/drawing/2014/main" id="{00000000-0008-0000-0000-00008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992" name="Picture 194" descr="http://www.conermex.com.mx/images/pdf-opt-gris.png">
          <a:extLst>
            <a:ext uri="{FF2B5EF4-FFF2-40B4-BE49-F238E27FC236}">
              <a16:creationId xmlns:a16="http://schemas.microsoft.com/office/drawing/2014/main" id="{00000000-0008-0000-0000-00008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993" name="Picture 195" descr="http://www.conermex.com.mx/images/pdf-opt-gris.png">
          <a:extLst>
            <a:ext uri="{FF2B5EF4-FFF2-40B4-BE49-F238E27FC236}">
              <a16:creationId xmlns:a16="http://schemas.microsoft.com/office/drawing/2014/main" id="{00000000-0008-0000-0000-00008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994" name="Picture 196" descr="http://www.conermex.com.mx/images/pdf-opt-gris.png">
          <a:extLst>
            <a:ext uri="{FF2B5EF4-FFF2-40B4-BE49-F238E27FC236}">
              <a16:creationId xmlns:a16="http://schemas.microsoft.com/office/drawing/2014/main" id="{00000000-0008-0000-0000-00008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995" name="Picture 197" descr="http://www.conermex.com.mx/images/pdf-opt-gris.png">
          <a:extLst>
            <a:ext uri="{FF2B5EF4-FFF2-40B4-BE49-F238E27FC236}">
              <a16:creationId xmlns:a16="http://schemas.microsoft.com/office/drawing/2014/main" id="{00000000-0008-0000-0000-00008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996" name="Picture 198" descr="http://www.conermex.com.mx/images/pdf-opt-gris.png">
          <a:extLst>
            <a:ext uri="{FF2B5EF4-FFF2-40B4-BE49-F238E27FC236}">
              <a16:creationId xmlns:a16="http://schemas.microsoft.com/office/drawing/2014/main" id="{00000000-0008-0000-0000-00008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997" name="Picture 199" descr="http://www.conermex.com.mx/images/pdf-opt-gris.png">
          <a:extLst>
            <a:ext uri="{FF2B5EF4-FFF2-40B4-BE49-F238E27FC236}">
              <a16:creationId xmlns:a16="http://schemas.microsoft.com/office/drawing/2014/main" id="{00000000-0008-0000-0000-00008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998" name="Picture 200" descr="http://www.conermex.com.mx/images/pdf-opt-gris.png">
          <a:extLst>
            <a:ext uri="{FF2B5EF4-FFF2-40B4-BE49-F238E27FC236}">
              <a16:creationId xmlns:a16="http://schemas.microsoft.com/office/drawing/2014/main" id="{00000000-0008-0000-0000-00008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999" name="Picture 201" descr="http://www.conermex.com.mx/images/pdf-opt-gris.png">
          <a:extLst>
            <a:ext uri="{FF2B5EF4-FFF2-40B4-BE49-F238E27FC236}">
              <a16:creationId xmlns:a16="http://schemas.microsoft.com/office/drawing/2014/main" id="{00000000-0008-0000-0000-00008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00" name="Picture 202" descr="http://www.conermex.com.mx/images/pdf-opt-gris.png">
          <a:extLst>
            <a:ext uri="{FF2B5EF4-FFF2-40B4-BE49-F238E27FC236}">
              <a16:creationId xmlns:a16="http://schemas.microsoft.com/office/drawing/2014/main" id="{00000000-0008-0000-0000-00008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01" name="Picture 203" descr="http://www.conermex.com.mx/images/pdf-opt-gris.png">
          <a:extLst>
            <a:ext uri="{FF2B5EF4-FFF2-40B4-BE49-F238E27FC236}">
              <a16:creationId xmlns:a16="http://schemas.microsoft.com/office/drawing/2014/main" id="{00000000-0008-0000-0000-00008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02" name="Picture 204" descr="http://www.conermex.com.mx/images/pdf-opt-gris.png">
          <a:extLst>
            <a:ext uri="{FF2B5EF4-FFF2-40B4-BE49-F238E27FC236}">
              <a16:creationId xmlns:a16="http://schemas.microsoft.com/office/drawing/2014/main" id="{00000000-0008-0000-0000-00008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03" name="Picture 205" descr="http://www.conermex.com.mx/images/pdf-opt-gris.png">
          <a:extLst>
            <a:ext uri="{FF2B5EF4-FFF2-40B4-BE49-F238E27FC236}">
              <a16:creationId xmlns:a16="http://schemas.microsoft.com/office/drawing/2014/main" id="{00000000-0008-0000-0000-00008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04" name="Picture 206" descr="http://www.conermex.com.mx/images/pdf-opt-gris.png">
          <a:extLst>
            <a:ext uri="{FF2B5EF4-FFF2-40B4-BE49-F238E27FC236}">
              <a16:creationId xmlns:a16="http://schemas.microsoft.com/office/drawing/2014/main" id="{00000000-0008-0000-0000-00008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05" name="Picture 207" descr="http://www.conermex.com.mx/images/pdf-opt-gris.png">
          <a:extLst>
            <a:ext uri="{FF2B5EF4-FFF2-40B4-BE49-F238E27FC236}">
              <a16:creationId xmlns:a16="http://schemas.microsoft.com/office/drawing/2014/main" id="{00000000-0008-0000-0000-00008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06" name="Picture 208" descr="http://www.conermex.com.mx/images/pdf-opt-gris.png">
          <a:extLst>
            <a:ext uri="{FF2B5EF4-FFF2-40B4-BE49-F238E27FC236}">
              <a16:creationId xmlns:a16="http://schemas.microsoft.com/office/drawing/2014/main" id="{00000000-0008-0000-0000-00009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07" name="Picture 209" descr="http://www.conermex.com.mx/images/pdf-opt-gris.png">
          <a:extLst>
            <a:ext uri="{FF2B5EF4-FFF2-40B4-BE49-F238E27FC236}">
              <a16:creationId xmlns:a16="http://schemas.microsoft.com/office/drawing/2014/main" id="{00000000-0008-0000-0000-00009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08" name="Picture 210" descr="http://www.conermex.com.mx/images/pdf-opt-gris.png">
          <a:extLst>
            <a:ext uri="{FF2B5EF4-FFF2-40B4-BE49-F238E27FC236}">
              <a16:creationId xmlns:a16="http://schemas.microsoft.com/office/drawing/2014/main" id="{00000000-0008-0000-0000-00009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09" name="Picture 211" descr="http://www.conermex.com.mx/images/pdf-opt-gris.png">
          <a:extLst>
            <a:ext uri="{FF2B5EF4-FFF2-40B4-BE49-F238E27FC236}">
              <a16:creationId xmlns:a16="http://schemas.microsoft.com/office/drawing/2014/main" id="{00000000-0008-0000-0000-00009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10" name="Picture 212" descr="http://www.conermex.com.mx/images/pdf-opt-gris.png">
          <a:extLst>
            <a:ext uri="{FF2B5EF4-FFF2-40B4-BE49-F238E27FC236}">
              <a16:creationId xmlns:a16="http://schemas.microsoft.com/office/drawing/2014/main" id="{00000000-0008-0000-0000-00009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11" name="Picture 213" descr="http://www.conermex.com.mx/images/pdf-opt-gris.png">
          <a:extLst>
            <a:ext uri="{FF2B5EF4-FFF2-40B4-BE49-F238E27FC236}">
              <a16:creationId xmlns:a16="http://schemas.microsoft.com/office/drawing/2014/main" id="{00000000-0008-0000-0000-00009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12" name="Picture 214" descr="http://www.conermex.com.mx/images/pdf-opt-gris.png">
          <a:extLst>
            <a:ext uri="{FF2B5EF4-FFF2-40B4-BE49-F238E27FC236}">
              <a16:creationId xmlns:a16="http://schemas.microsoft.com/office/drawing/2014/main" id="{00000000-0008-0000-0000-00009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13" name="Picture 215" descr="http://www.conermex.com.mx/images/pdf-opt-gris.png">
          <a:extLst>
            <a:ext uri="{FF2B5EF4-FFF2-40B4-BE49-F238E27FC236}">
              <a16:creationId xmlns:a16="http://schemas.microsoft.com/office/drawing/2014/main" id="{00000000-0008-0000-0000-00009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14" name="Picture 216" descr="http://www.conermex.com.mx/images/pdf-opt-gris.png">
          <a:extLst>
            <a:ext uri="{FF2B5EF4-FFF2-40B4-BE49-F238E27FC236}">
              <a16:creationId xmlns:a16="http://schemas.microsoft.com/office/drawing/2014/main" id="{00000000-0008-0000-0000-00009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15" name="Picture 217" descr="http://www.conermex.com.mx/images/pdf-opt-gris.png">
          <a:extLst>
            <a:ext uri="{FF2B5EF4-FFF2-40B4-BE49-F238E27FC236}">
              <a16:creationId xmlns:a16="http://schemas.microsoft.com/office/drawing/2014/main" id="{00000000-0008-0000-0000-00009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16" name="Picture 218" descr="http://www.conermex.com.mx/images/pdf-opt-gris.png">
          <a:extLst>
            <a:ext uri="{FF2B5EF4-FFF2-40B4-BE49-F238E27FC236}">
              <a16:creationId xmlns:a16="http://schemas.microsoft.com/office/drawing/2014/main" id="{00000000-0008-0000-0000-00009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17" name="Picture 219" descr="http://www.conermex.com.mx/images/pdf-opt-gris.png">
          <a:extLst>
            <a:ext uri="{FF2B5EF4-FFF2-40B4-BE49-F238E27FC236}">
              <a16:creationId xmlns:a16="http://schemas.microsoft.com/office/drawing/2014/main" id="{00000000-0008-0000-0000-00009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18" name="Picture 220" descr="http://www.conermex.com.mx/images/pdf-opt-gris.png">
          <a:extLst>
            <a:ext uri="{FF2B5EF4-FFF2-40B4-BE49-F238E27FC236}">
              <a16:creationId xmlns:a16="http://schemas.microsoft.com/office/drawing/2014/main" id="{00000000-0008-0000-0000-00009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19" name="Picture 221" descr="http://www.conermex.com.mx/images/pdf-opt-gris.png">
          <a:extLst>
            <a:ext uri="{FF2B5EF4-FFF2-40B4-BE49-F238E27FC236}">
              <a16:creationId xmlns:a16="http://schemas.microsoft.com/office/drawing/2014/main" id="{00000000-0008-0000-0000-00009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20" name="Picture 222" descr="http://www.conermex.com.mx/images/pdf-opt-gris.png">
          <a:extLst>
            <a:ext uri="{FF2B5EF4-FFF2-40B4-BE49-F238E27FC236}">
              <a16:creationId xmlns:a16="http://schemas.microsoft.com/office/drawing/2014/main" id="{00000000-0008-0000-0000-00009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21" name="Picture 223" descr="http://www.conermex.com.mx/images/pdf-opt-gris.png">
          <a:extLst>
            <a:ext uri="{FF2B5EF4-FFF2-40B4-BE49-F238E27FC236}">
              <a16:creationId xmlns:a16="http://schemas.microsoft.com/office/drawing/2014/main" id="{00000000-0008-0000-0000-00009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22" name="Picture 224" descr="http://www.conermex.com.mx/images/pdf-opt-gris.png">
          <a:extLst>
            <a:ext uri="{FF2B5EF4-FFF2-40B4-BE49-F238E27FC236}">
              <a16:creationId xmlns:a16="http://schemas.microsoft.com/office/drawing/2014/main" id="{00000000-0008-0000-0000-0000A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23" name="Picture 225" descr="http://www.conermex.com.mx/images/pdf-opt-gris.png">
          <a:extLst>
            <a:ext uri="{FF2B5EF4-FFF2-40B4-BE49-F238E27FC236}">
              <a16:creationId xmlns:a16="http://schemas.microsoft.com/office/drawing/2014/main" id="{00000000-0008-0000-0000-0000A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24" name="Picture 226" descr="http://www.conermex.com.mx/images/pdf-opt-gris.png">
          <a:extLst>
            <a:ext uri="{FF2B5EF4-FFF2-40B4-BE49-F238E27FC236}">
              <a16:creationId xmlns:a16="http://schemas.microsoft.com/office/drawing/2014/main" id="{00000000-0008-0000-0000-0000A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25" name="Picture 227" descr="http://www.conermex.com.mx/images/pdf-opt-gris.png">
          <a:extLst>
            <a:ext uri="{FF2B5EF4-FFF2-40B4-BE49-F238E27FC236}">
              <a16:creationId xmlns:a16="http://schemas.microsoft.com/office/drawing/2014/main" id="{00000000-0008-0000-0000-0000A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26" name="Picture 228" descr="http://www.conermex.com.mx/images/pdf-opt-gris.png">
          <a:extLst>
            <a:ext uri="{FF2B5EF4-FFF2-40B4-BE49-F238E27FC236}">
              <a16:creationId xmlns:a16="http://schemas.microsoft.com/office/drawing/2014/main" id="{00000000-0008-0000-0000-0000A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27" name="Picture 229" descr="http://www.conermex.com.mx/images/pdf-opt-gris.png">
          <a:extLst>
            <a:ext uri="{FF2B5EF4-FFF2-40B4-BE49-F238E27FC236}">
              <a16:creationId xmlns:a16="http://schemas.microsoft.com/office/drawing/2014/main" id="{00000000-0008-0000-0000-0000A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28" name="Picture 230" descr="http://www.conermex.com.mx/images/pdf-opt-gris.png">
          <a:extLst>
            <a:ext uri="{FF2B5EF4-FFF2-40B4-BE49-F238E27FC236}">
              <a16:creationId xmlns:a16="http://schemas.microsoft.com/office/drawing/2014/main" id="{00000000-0008-0000-0000-0000A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29" name="Picture 231" descr="http://www.conermex.com.mx/images/pdf-opt-gris.png">
          <a:extLst>
            <a:ext uri="{FF2B5EF4-FFF2-40B4-BE49-F238E27FC236}">
              <a16:creationId xmlns:a16="http://schemas.microsoft.com/office/drawing/2014/main" id="{00000000-0008-0000-0000-0000A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30" name="Picture 232" descr="http://www.conermex.com.mx/images/pdf-opt-gris.png">
          <a:extLst>
            <a:ext uri="{FF2B5EF4-FFF2-40B4-BE49-F238E27FC236}">
              <a16:creationId xmlns:a16="http://schemas.microsoft.com/office/drawing/2014/main" id="{00000000-0008-0000-0000-0000A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31" name="Picture 233" descr="http://www.conermex.com.mx/images/pdf-opt-gris.png">
          <a:extLst>
            <a:ext uri="{FF2B5EF4-FFF2-40B4-BE49-F238E27FC236}">
              <a16:creationId xmlns:a16="http://schemas.microsoft.com/office/drawing/2014/main" id="{00000000-0008-0000-0000-0000A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32" name="Picture 234" descr="http://www.conermex.com.mx/images/pdf-opt-gris.png">
          <a:extLst>
            <a:ext uri="{FF2B5EF4-FFF2-40B4-BE49-F238E27FC236}">
              <a16:creationId xmlns:a16="http://schemas.microsoft.com/office/drawing/2014/main" id="{00000000-0008-0000-0000-0000A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33" name="Picture 235" descr="http://www.conermex.com.mx/images/pdf-opt-gris.png">
          <a:extLst>
            <a:ext uri="{FF2B5EF4-FFF2-40B4-BE49-F238E27FC236}">
              <a16:creationId xmlns:a16="http://schemas.microsoft.com/office/drawing/2014/main" id="{00000000-0008-0000-0000-0000A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34" name="Picture 236" descr="http://www.conermex.com.mx/images/pdf-opt.png">
          <a:hlinkClick xmlns:r="http://schemas.openxmlformats.org/officeDocument/2006/relationships" r:id="rId8" tgtFrame="_blank"/>
          <a:extLst>
            <a:ext uri="{FF2B5EF4-FFF2-40B4-BE49-F238E27FC236}">
              <a16:creationId xmlns:a16="http://schemas.microsoft.com/office/drawing/2014/main" id="{00000000-0008-0000-0000-0000AC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35" name="Picture 237" descr="http://www.conermex.com.mx/images/pdf-opt.png">
          <a:hlinkClick xmlns:r="http://schemas.openxmlformats.org/officeDocument/2006/relationships" r:id="rId9" tgtFrame="_blank"/>
          <a:extLst>
            <a:ext uri="{FF2B5EF4-FFF2-40B4-BE49-F238E27FC236}">
              <a16:creationId xmlns:a16="http://schemas.microsoft.com/office/drawing/2014/main" id="{00000000-0008-0000-0000-0000AD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36" name="Picture 238" descr="http://www.conermex.com.mx/images/pdf-opt-gris.png">
          <a:extLst>
            <a:ext uri="{FF2B5EF4-FFF2-40B4-BE49-F238E27FC236}">
              <a16:creationId xmlns:a16="http://schemas.microsoft.com/office/drawing/2014/main" id="{00000000-0008-0000-0000-0000A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37" name="Picture 239" descr="http://www.conermex.com.mx/images/pdf-opt-gris.png">
          <a:extLst>
            <a:ext uri="{FF2B5EF4-FFF2-40B4-BE49-F238E27FC236}">
              <a16:creationId xmlns:a16="http://schemas.microsoft.com/office/drawing/2014/main" id="{00000000-0008-0000-0000-0000A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38" name="Picture 240" descr="http://www.conermex.com.mx/images/pdf-opt-gris.png">
          <a:extLst>
            <a:ext uri="{FF2B5EF4-FFF2-40B4-BE49-F238E27FC236}">
              <a16:creationId xmlns:a16="http://schemas.microsoft.com/office/drawing/2014/main" id="{00000000-0008-0000-0000-0000B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39" name="Picture 241" descr="http://www.conermex.com.mx/images/pdf-opt.png">
          <a:hlinkClick xmlns:r="http://schemas.openxmlformats.org/officeDocument/2006/relationships" r:id="rId10" tgtFrame="_blank"/>
          <a:extLst>
            <a:ext uri="{FF2B5EF4-FFF2-40B4-BE49-F238E27FC236}">
              <a16:creationId xmlns:a16="http://schemas.microsoft.com/office/drawing/2014/main" id="{00000000-0008-0000-0000-0000B1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40" name="Picture 242" descr="http://www.conermex.com.mx/images/pdf-opt.png">
          <a:hlinkClick xmlns:r="http://schemas.openxmlformats.org/officeDocument/2006/relationships" r:id="rId10" tgtFrame="_blank"/>
          <a:extLst>
            <a:ext uri="{FF2B5EF4-FFF2-40B4-BE49-F238E27FC236}">
              <a16:creationId xmlns:a16="http://schemas.microsoft.com/office/drawing/2014/main" id="{00000000-0008-0000-0000-0000B2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41" name="Picture 243" descr="http://www.conermex.com.mx/images/pdf-opt.png">
          <a:hlinkClick xmlns:r="http://schemas.openxmlformats.org/officeDocument/2006/relationships" r:id="rId11" tgtFrame="_blank"/>
          <a:extLst>
            <a:ext uri="{FF2B5EF4-FFF2-40B4-BE49-F238E27FC236}">
              <a16:creationId xmlns:a16="http://schemas.microsoft.com/office/drawing/2014/main" id="{00000000-0008-0000-0000-0000B3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42" name="Picture 244" descr="http://www.conermex.com.mx/images/pdf-opt.png">
          <a:hlinkClick xmlns:r="http://schemas.openxmlformats.org/officeDocument/2006/relationships" r:id="rId11" tgtFrame="_blank"/>
          <a:extLst>
            <a:ext uri="{FF2B5EF4-FFF2-40B4-BE49-F238E27FC236}">
              <a16:creationId xmlns:a16="http://schemas.microsoft.com/office/drawing/2014/main" id="{00000000-0008-0000-0000-0000B4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43" name="Picture 245" descr="http://www.conermex.com.mx/images/pdf-opt.png">
          <a:hlinkClick xmlns:r="http://schemas.openxmlformats.org/officeDocument/2006/relationships" r:id="rId11" tgtFrame="_blank"/>
          <a:extLst>
            <a:ext uri="{FF2B5EF4-FFF2-40B4-BE49-F238E27FC236}">
              <a16:creationId xmlns:a16="http://schemas.microsoft.com/office/drawing/2014/main" id="{00000000-0008-0000-0000-0000B5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44" name="Picture 246" descr="http://www.conermex.com.mx/images/pdf-opt-gris.png">
          <a:hlinkClick xmlns:r="http://schemas.openxmlformats.org/officeDocument/2006/relationships" r:id="rId10" tgtFrame="_blank"/>
          <a:extLst>
            <a:ext uri="{FF2B5EF4-FFF2-40B4-BE49-F238E27FC236}">
              <a16:creationId xmlns:a16="http://schemas.microsoft.com/office/drawing/2014/main" id="{00000000-0008-0000-0000-0000B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45" name="Picture 247" descr="http://www.conermex.com.mx/images/pdf-opt-gris.png">
          <a:hlinkClick xmlns:r="http://schemas.openxmlformats.org/officeDocument/2006/relationships" r:id="rId10" tgtFrame="_blank"/>
          <a:extLst>
            <a:ext uri="{FF2B5EF4-FFF2-40B4-BE49-F238E27FC236}">
              <a16:creationId xmlns:a16="http://schemas.microsoft.com/office/drawing/2014/main" id="{00000000-0008-0000-0000-0000B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46" name="Picture 248" descr="http://www.conermex.com.mx/images/pdf-opt-gris.png">
          <a:extLst>
            <a:ext uri="{FF2B5EF4-FFF2-40B4-BE49-F238E27FC236}">
              <a16:creationId xmlns:a16="http://schemas.microsoft.com/office/drawing/2014/main" id="{00000000-0008-0000-0000-0000B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47" name="Picture 249" descr="http://www.conermex.com.mx/images/pdf-opt-gris.png">
          <a:extLst>
            <a:ext uri="{FF2B5EF4-FFF2-40B4-BE49-F238E27FC236}">
              <a16:creationId xmlns:a16="http://schemas.microsoft.com/office/drawing/2014/main" id="{00000000-0008-0000-0000-0000B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48" name="Picture 250" descr="http://www.conermex.com.mx/images/pdf-opt.png">
          <a:hlinkClick xmlns:r="http://schemas.openxmlformats.org/officeDocument/2006/relationships" r:id="rId12" tgtFrame="_blank"/>
          <a:extLst>
            <a:ext uri="{FF2B5EF4-FFF2-40B4-BE49-F238E27FC236}">
              <a16:creationId xmlns:a16="http://schemas.microsoft.com/office/drawing/2014/main" id="{00000000-0008-0000-0000-0000BA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49" name="Picture 251" descr="http://www.conermex.com.mx/images/pdf-opt.png">
          <a:hlinkClick xmlns:r="http://schemas.openxmlformats.org/officeDocument/2006/relationships" r:id="rId13" tgtFrame="_blank"/>
          <a:extLst>
            <a:ext uri="{FF2B5EF4-FFF2-40B4-BE49-F238E27FC236}">
              <a16:creationId xmlns:a16="http://schemas.microsoft.com/office/drawing/2014/main" id="{00000000-0008-0000-0000-0000BB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50" name="Picture 252" descr="http://www.conermex.com.mx/images/pdf-opt.png">
          <a:hlinkClick xmlns:r="http://schemas.openxmlformats.org/officeDocument/2006/relationships" r:id="rId13" tgtFrame="_blank"/>
          <a:extLst>
            <a:ext uri="{FF2B5EF4-FFF2-40B4-BE49-F238E27FC236}">
              <a16:creationId xmlns:a16="http://schemas.microsoft.com/office/drawing/2014/main" id="{00000000-0008-0000-0000-0000BC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51" name="Picture 114" descr="http://www.conermex.com.mx/images/pdf-opt.png">
          <a:hlinkClick xmlns:r="http://schemas.openxmlformats.org/officeDocument/2006/relationships" r:id="rId14" tgtFrame="_blank"/>
          <a:extLst>
            <a:ext uri="{FF2B5EF4-FFF2-40B4-BE49-F238E27FC236}">
              <a16:creationId xmlns:a16="http://schemas.microsoft.com/office/drawing/2014/main" id="{00000000-0008-0000-0000-0000BE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52" name="Picture 115" descr="http://www.conermex.com.mx/images/pdf-opt.png">
          <a:hlinkClick xmlns:r="http://schemas.openxmlformats.org/officeDocument/2006/relationships" r:id="rId15" tgtFrame="_blank"/>
          <a:extLst>
            <a:ext uri="{FF2B5EF4-FFF2-40B4-BE49-F238E27FC236}">
              <a16:creationId xmlns:a16="http://schemas.microsoft.com/office/drawing/2014/main" id="{00000000-0008-0000-0000-0000BF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53" name="Picture 116" descr="http://www.conermex.com.mx/images/pdf-opt.png">
          <a:hlinkClick xmlns:r="http://schemas.openxmlformats.org/officeDocument/2006/relationships" r:id="rId16" tgtFrame="_blank"/>
          <a:extLst>
            <a:ext uri="{FF2B5EF4-FFF2-40B4-BE49-F238E27FC236}">
              <a16:creationId xmlns:a16="http://schemas.microsoft.com/office/drawing/2014/main" id="{00000000-0008-0000-0000-0000C0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54" name="Picture 117" descr="http://www.conermex.com.mx/images/pdf-opt.png">
          <a:hlinkClick xmlns:r="http://schemas.openxmlformats.org/officeDocument/2006/relationships" r:id="rId17" tgtFrame="_blank"/>
          <a:extLst>
            <a:ext uri="{FF2B5EF4-FFF2-40B4-BE49-F238E27FC236}">
              <a16:creationId xmlns:a16="http://schemas.microsoft.com/office/drawing/2014/main" id="{00000000-0008-0000-0000-0000C1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55" name="Picture 118" descr="http://www.conermex.com.mx/images/pdf-opt.png">
          <a:hlinkClick xmlns:r="http://schemas.openxmlformats.org/officeDocument/2006/relationships" r:id="rId18" tgtFrame="_blank"/>
          <a:extLst>
            <a:ext uri="{FF2B5EF4-FFF2-40B4-BE49-F238E27FC236}">
              <a16:creationId xmlns:a16="http://schemas.microsoft.com/office/drawing/2014/main" id="{00000000-0008-0000-0000-0000C2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56" name="Picture 119" descr="http://www.conermex.com.mx/images/pdf-opt.png">
          <a:hlinkClick xmlns:r="http://schemas.openxmlformats.org/officeDocument/2006/relationships" r:id="rId19" tgtFrame="_blank"/>
          <a:extLst>
            <a:ext uri="{FF2B5EF4-FFF2-40B4-BE49-F238E27FC236}">
              <a16:creationId xmlns:a16="http://schemas.microsoft.com/office/drawing/2014/main" id="{00000000-0008-0000-0000-0000C3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57" name="Picture 120" descr="http://www.conermex.com.mx/images/pdf-opt-gris.png">
          <a:extLst>
            <a:ext uri="{FF2B5EF4-FFF2-40B4-BE49-F238E27FC236}">
              <a16:creationId xmlns:a16="http://schemas.microsoft.com/office/drawing/2014/main" id="{00000000-0008-0000-0000-0000C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58" name="Picture 121" descr="http://www.conermex.com.mx/images/pdf-opt.png">
          <a:hlinkClick xmlns:r="http://schemas.openxmlformats.org/officeDocument/2006/relationships" r:id="rId20"/>
          <a:extLst>
            <a:ext uri="{FF2B5EF4-FFF2-40B4-BE49-F238E27FC236}">
              <a16:creationId xmlns:a16="http://schemas.microsoft.com/office/drawing/2014/main" id="{00000000-0008-0000-0000-0000C5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59" name="Picture 122" descr="http://www.conermex.com.mx/images/pdf-opt-gris.png">
          <a:extLst>
            <a:ext uri="{FF2B5EF4-FFF2-40B4-BE49-F238E27FC236}">
              <a16:creationId xmlns:a16="http://schemas.microsoft.com/office/drawing/2014/main" id="{00000000-0008-0000-0000-0000C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60" name="Picture 123" descr="http://www.conermex.com.mx/images/pdf-opt-gris.png">
          <a:extLst>
            <a:ext uri="{FF2B5EF4-FFF2-40B4-BE49-F238E27FC236}">
              <a16:creationId xmlns:a16="http://schemas.microsoft.com/office/drawing/2014/main" id="{00000000-0008-0000-0000-0000C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61" name="Picture 124" descr="http://www.conermex.com.mx/images/pdf-opt-gris.png">
          <a:extLst>
            <a:ext uri="{FF2B5EF4-FFF2-40B4-BE49-F238E27FC236}">
              <a16:creationId xmlns:a16="http://schemas.microsoft.com/office/drawing/2014/main" id="{00000000-0008-0000-0000-0000C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62" name="Picture 125"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C9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63" name="Picture 126"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CA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64" name="Picture 127"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CB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65" name="Picture 128" descr="http://www.conermex.com.mx/images/pdf-opt.png">
          <a:hlinkClick xmlns:r="http://schemas.openxmlformats.org/officeDocument/2006/relationships" r:id="rId2" tgtFrame="_blank"/>
          <a:extLst>
            <a:ext uri="{FF2B5EF4-FFF2-40B4-BE49-F238E27FC236}">
              <a16:creationId xmlns:a16="http://schemas.microsoft.com/office/drawing/2014/main" id="{00000000-0008-0000-0000-0000CC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66" name="Picture 129" descr="http://www.conermex.com.mx/images/pdf-opt-gris.png">
          <a:extLst>
            <a:ext uri="{FF2B5EF4-FFF2-40B4-BE49-F238E27FC236}">
              <a16:creationId xmlns:a16="http://schemas.microsoft.com/office/drawing/2014/main" id="{00000000-0008-0000-0000-0000C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67" name="Picture 130"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CE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68" name="Picture 131"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CF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69" name="Picture 132"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D0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70" name="Picture 133" descr="http://www.conermex.com.mx/images/pdf-opt.png">
          <a:hlinkClick xmlns:r="http://schemas.openxmlformats.org/officeDocument/2006/relationships" r:id="rId4" tgtFrame="_blank"/>
          <a:extLst>
            <a:ext uri="{FF2B5EF4-FFF2-40B4-BE49-F238E27FC236}">
              <a16:creationId xmlns:a16="http://schemas.microsoft.com/office/drawing/2014/main" id="{00000000-0008-0000-0000-0000D1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71" name="Picture 134" descr="http://www.conermex.com.mx/images/pdf-opt.png">
          <a:hlinkClick xmlns:r="http://schemas.openxmlformats.org/officeDocument/2006/relationships" r:id="rId5" tgtFrame="_blank"/>
          <a:extLst>
            <a:ext uri="{FF2B5EF4-FFF2-40B4-BE49-F238E27FC236}">
              <a16:creationId xmlns:a16="http://schemas.microsoft.com/office/drawing/2014/main" id="{00000000-0008-0000-0000-0000D2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72" name="Picture 135" descr="http://www.conermex.com.mx/images/pdf-opt.png">
          <a:hlinkClick xmlns:r="http://schemas.openxmlformats.org/officeDocument/2006/relationships" r:id="rId5" tgtFrame="_blank"/>
          <a:extLst>
            <a:ext uri="{FF2B5EF4-FFF2-40B4-BE49-F238E27FC236}">
              <a16:creationId xmlns:a16="http://schemas.microsoft.com/office/drawing/2014/main" id="{00000000-0008-0000-0000-0000D3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73" name="Picture 136"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D4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74" name="Picture 137"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D5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75" name="Picture 138" descr="http://www.conermex.com.mx/images/pdf-opt.png">
          <a:hlinkClick xmlns:r="http://schemas.openxmlformats.org/officeDocument/2006/relationships" r:id="rId6" tgtFrame="_blank"/>
          <a:extLst>
            <a:ext uri="{FF2B5EF4-FFF2-40B4-BE49-F238E27FC236}">
              <a16:creationId xmlns:a16="http://schemas.microsoft.com/office/drawing/2014/main" id="{00000000-0008-0000-0000-0000D6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76" name="Picture 139"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D7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77" name="Picture 140"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D8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78" name="Picture 141"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D9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79" name="Picture 142" descr="http://www.conermex.com.mx/images/pdf-opt.png">
          <a:hlinkClick xmlns:r="http://schemas.openxmlformats.org/officeDocument/2006/relationships" r:id="rId7" tgtFrame="_blank"/>
          <a:extLst>
            <a:ext uri="{FF2B5EF4-FFF2-40B4-BE49-F238E27FC236}">
              <a16:creationId xmlns:a16="http://schemas.microsoft.com/office/drawing/2014/main" id="{00000000-0008-0000-0000-0000DA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80" name="Picture 143" descr="http://www.conermex.com.mx/images/pdf-opt.png">
          <a:hlinkClick xmlns:r="http://schemas.openxmlformats.org/officeDocument/2006/relationships" r:id="rId8" tgtFrame="_blank"/>
          <a:extLst>
            <a:ext uri="{FF2B5EF4-FFF2-40B4-BE49-F238E27FC236}">
              <a16:creationId xmlns:a16="http://schemas.microsoft.com/office/drawing/2014/main" id="{00000000-0008-0000-0000-0000DB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81" name="Picture 144" descr="http://www.conermex.com.mx/images/pdf-opt.png">
          <a:hlinkClick xmlns:r="http://schemas.openxmlformats.org/officeDocument/2006/relationships" r:id="rId9" tgtFrame="_blank"/>
          <a:extLst>
            <a:ext uri="{FF2B5EF4-FFF2-40B4-BE49-F238E27FC236}">
              <a16:creationId xmlns:a16="http://schemas.microsoft.com/office/drawing/2014/main" id="{00000000-0008-0000-0000-0000DC01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82" name="Picture 145" descr="http://www.conermex.com.mx/images/pdf-opt-gris.png">
          <a:extLst>
            <a:ext uri="{FF2B5EF4-FFF2-40B4-BE49-F238E27FC236}">
              <a16:creationId xmlns:a16="http://schemas.microsoft.com/office/drawing/2014/main" id="{00000000-0008-0000-0000-0000D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83" name="Picture 146" descr="http://www.conermex.com.mx/images/pdf-opt-gris.png">
          <a:extLst>
            <a:ext uri="{FF2B5EF4-FFF2-40B4-BE49-F238E27FC236}">
              <a16:creationId xmlns:a16="http://schemas.microsoft.com/office/drawing/2014/main" id="{00000000-0008-0000-0000-0000D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84" name="Picture 147" descr="http://www.conermex.com.mx/images/pdf-opt-gris.png">
          <a:extLst>
            <a:ext uri="{FF2B5EF4-FFF2-40B4-BE49-F238E27FC236}">
              <a16:creationId xmlns:a16="http://schemas.microsoft.com/office/drawing/2014/main" id="{00000000-0008-0000-0000-0000D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85" name="Picture 148" descr="http://www.conermex.com.mx/images/pdf-opt-gris.png">
          <a:extLst>
            <a:ext uri="{FF2B5EF4-FFF2-40B4-BE49-F238E27FC236}">
              <a16:creationId xmlns:a16="http://schemas.microsoft.com/office/drawing/2014/main" id="{00000000-0008-0000-0000-0000E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86" name="Picture 149" descr="http://www.conermex.com.mx/images/pdf-opt-gris.png">
          <a:extLst>
            <a:ext uri="{FF2B5EF4-FFF2-40B4-BE49-F238E27FC236}">
              <a16:creationId xmlns:a16="http://schemas.microsoft.com/office/drawing/2014/main" id="{00000000-0008-0000-0000-0000E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87" name="Picture 150" descr="http://www.conermex.com.mx/images/pdf-opt-gris.png">
          <a:extLst>
            <a:ext uri="{FF2B5EF4-FFF2-40B4-BE49-F238E27FC236}">
              <a16:creationId xmlns:a16="http://schemas.microsoft.com/office/drawing/2014/main" id="{00000000-0008-0000-0000-0000E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88" name="Picture 151" descr="http://www.conermex.com.mx/images/pdf-opt-gris.png">
          <a:extLst>
            <a:ext uri="{FF2B5EF4-FFF2-40B4-BE49-F238E27FC236}">
              <a16:creationId xmlns:a16="http://schemas.microsoft.com/office/drawing/2014/main" id="{00000000-0008-0000-0000-0000E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89" name="Picture 152" descr="http://www.conermex.com.mx/images/pdf-opt-gris.png">
          <a:extLst>
            <a:ext uri="{FF2B5EF4-FFF2-40B4-BE49-F238E27FC236}">
              <a16:creationId xmlns:a16="http://schemas.microsoft.com/office/drawing/2014/main" id="{00000000-0008-0000-0000-0000E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90" name="Picture 153" descr="http://www.conermex.com.mx/images/pdf-opt-gris.png">
          <a:extLst>
            <a:ext uri="{FF2B5EF4-FFF2-40B4-BE49-F238E27FC236}">
              <a16:creationId xmlns:a16="http://schemas.microsoft.com/office/drawing/2014/main" id="{00000000-0008-0000-0000-0000E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91" name="Picture 154" descr="http://www.conermex.com.mx/images/pdf-opt-gris.png">
          <a:extLst>
            <a:ext uri="{FF2B5EF4-FFF2-40B4-BE49-F238E27FC236}">
              <a16:creationId xmlns:a16="http://schemas.microsoft.com/office/drawing/2014/main" id="{00000000-0008-0000-0000-0000E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92" name="Picture 155" descr="http://www.conermex.com.mx/images/pdf-opt-gris.png">
          <a:extLst>
            <a:ext uri="{FF2B5EF4-FFF2-40B4-BE49-F238E27FC236}">
              <a16:creationId xmlns:a16="http://schemas.microsoft.com/office/drawing/2014/main" id="{00000000-0008-0000-0000-0000E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93" name="Picture 156" descr="http://www.conermex.com.mx/images/pdf-opt-gris.png">
          <a:extLst>
            <a:ext uri="{FF2B5EF4-FFF2-40B4-BE49-F238E27FC236}">
              <a16:creationId xmlns:a16="http://schemas.microsoft.com/office/drawing/2014/main" id="{00000000-0008-0000-0000-0000E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94" name="Picture 157" descr="http://www.conermex.com.mx/images/pdf-opt-gris.png">
          <a:extLst>
            <a:ext uri="{FF2B5EF4-FFF2-40B4-BE49-F238E27FC236}">
              <a16:creationId xmlns:a16="http://schemas.microsoft.com/office/drawing/2014/main" id="{00000000-0008-0000-0000-0000E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95" name="Picture 158" descr="http://www.conermex.com.mx/images/pdf-opt-gris.png">
          <a:extLst>
            <a:ext uri="{FF2B5EF4-FFF2-40B4-BE49-F238E27FC236}">
              <a16:creationId xmlns:a16="http://schemas.microsoft.com/office/drawing/2014/main" id="{00000000-0008-0000-0000-0000E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96" name="Picture 159" descr="http://www.conermex.com.mx/images/pdf-opt-gris.png">
          <a:extLst>
            <a:ext uri="{FF2B5EF4-FFF2-40B4-BE49-F238E27FC236}">
              <a16:creationId xmlns:a16="http://schemas.microsoft.com/office/drawing/2014/main" id="{00000000-0008-0000-0000-0000E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97" name="Picture 160" descr="http://www.conermex.com.mx/images/pdf-opt-gris.png">
          <a:extLst>
            <a:ext uri="{FF2B5EF4-FFF2-40B4-BE49-F238E27FC236}">
              <a16:creationId xmlns:a16="http://schemas.microsoft.com/office/drawing/2014/main" id="{00000000-0008-0000-0000-0000E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98" name="Picture 161" descr="http://www.conermex.com.mx/images/pdf-opt-gris.png">
          <a:extLst>
            <a:ext uri="{FF2B5EF4-FFF2-40B4-BE49-F238E27FC236}">
              <a16:creationId xmlns:a16="http://schemas.microsoft.com/office/drawing/2014/main" id="{00000000-0008-0000-0000-0000E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099" name="Picture 162" descr="http://www.conermex.com.mx/images/pdf-opt-gris.png">
          <a:extLst>
            <a:ext uri="{FF2B5EF4-FFF2-40B4-BE49-F238E27FC236}">
              <a16:creationId xmlns:a16="http://schemas.microsoft.com/office/drawing/2014/main" id="{00000000-0008-0000-0000-0000E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00" name="Picture 163" descr="http://www.conermex.com.mx/images/pdf-opt-gris.png">
          <a:extLst>
            <a:ext uri="{FF2B5EF4-FFF2-40B4-BE49-F238E27FC236}">
              <a16:creationId xmlns:a16="http://schemas.microsoft.com/office/drawing/2014/main" id="{00000000-0008-0000-0000-0000E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01" name="Picture 164" descr="http://www.conermex.com.mx/images/pdf-opt-gris.png">
          <a:extLst>
            <a:ext uri="{FF2B5EF4-FFF2-40B4-BE49-F238E27FC236}">
              <a16:creationId xmlns:a16="http://schemas.microsoft.com/office/drawing/2014/main" id="{00000000-0008-0000-0000-0000F0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02" name="Picture 165" descr="http://www.conermex.com.mx/images/pdf-opt-gris.png">
          <a:extLst>
            <a:ext uri="{FF2B5EF4-FFF2-40B4-BE49-F238E27FC236}">
              <a16:creationId xmlns:a16="http://schemas.microsoft.com/office/drawing/2014/main" id="{00000000-0008-0000-0000-0000F1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03" name="Picture 166" descr="http://www.conermex.com.mx/images/pdf-opt-gris.png">
          <a:extLst>
            <a:ext uri="{FF2B5EF4-FFF2-40B4-BE49-F238E27FC236}">
              <a16:creationId xmlns:a16="http://schemas.microsoft.com/office/drawing/2014/main" id="{00000000-0008-0000-0000-0000F2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04" name="Picture 167" descr="http://www.conermex.com.mx/images/pdf-opt-gris.png">
          <a:extLst>
            <a:ext uri="{FF2B5EF4-FFF2-40B4-BE49-F238E27FC236}">
              <a16:creationId xmlns:a16="http://schemas.microsoft.com/office/drawing/2014/main" id="{00000000-0008-0000-0000-0000F3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05" name="Picture 168" descr="http://www.conermex.com.mx/images/pdf-opt-gris.png">
          <a:extLst>
            <a:ext uri="{FF2B5EF4-FFF2-40B4-BE49-F238E27FC236}">
              <a16:creationId xmlns:a16="http://schemas.microsoft.com/office/drawing/2014/main" id="{00000000-0008-0000-0000-0000F4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06" name="Picture 169" descr="http://www.conermex.com.mx/images/pdf-opt-gris.png">
          <a:extLst>
            <a:ext uri="{FF2B5EF4-FFF2-40B4-BE49-F238E27FC236}">
              <a16:creationId xmlns:a16="http://schemas.microsoft.com/office/drawing/2014/main" id="{00000000-0008-0000-0000-0000F5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07" name="Picture 170" descr="http://www.conermex.com.mx/images/pdf-opt-gris.png">
          <a:extLst>
            <a:ext uri="{FF2B5EF4-FFF2-40B4-BE49-F238E27FC236}">
              <a16:creationId xmlns:a16="http://schemas.microsoft.com/office/drawing/2014/main" id="{00000000-0008-0000-0000-0000F6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08" name="Picture 171" descr="http://www.conermex.com.mx/images/pdf-opt-gris.png">
          <a:extLst>
            <a:ext uri="{FF2B5EF4-FFF2-40B4-BE49-F238E27FC236}">
              <a16:creationId xmlns:a16="http://schemas.microsoft.com/office/drawing/2014/main" id="{00000000-0008-0000-0000-0000F7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09" name="Picture 172" descr="http://www.conermex.com.mx/images/pdf-opt-gris.png">
          <a:extLst>
            <a:ext uri="{FF2B5EF4-FFF2-40B4-BE49-F238E27FC236}">
              <a16:creationId xmlns:a16="http://schemas.microsoft.com/office/drawing/2014/main" id="{00000000-0008-0000-0000-0000F8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10" name="Picture 173" descr="http://www.conermex.com.mx/images/pdf-opt-gris.png">
          <a:extLst>
            <a:ext uri="{FF2B5EF4-FFF2-40B4-BE49-F238E27FC236}">
              <a16:creationId xmlns:a16="http://schemas.microsoft.com/office/drawing/2014/main" id="{00000000-0008-0000-0000-0000F9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11" name="Picture 174" descr="http://www.conermex.com.mx/images/pdf-opt-gris.png">
          <a:extLst>
            <a:ext uri="{FF2B5EF4-FFF2-40B4-BE49-F238E27FC236}">
              <a16:creationId xmlns:a16="http://schemas.microsoft.com/office/drawing/2014/main" id="{00000000-0008-0000-0000-0000FA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12" name="Picture 175" descr="http://www.conermex.com.mx/images/pdf-opt-gris.png">
          <a:extLst>
            <a:ext uri="{FF2B5EF4-FFF2-40B4-BE49-F238E27FC236}">
              <a16:creationId xmlns:a16="http://schemas.microsoft.com/office/drawing/2014/main" id="{00000000-0008-0000-0000-0000FB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13" name="Picture 176" descr="http://www.conermex.com.mx/images/pdf-opt-gris.png">
          <a:extLst>
            <a:ext uri="{FF2B5EF4-FFF2-40B4-BE49-F238E27FC236}">
              <a16:creationId xmlns:a16="http://schemas.microsoft.com/office/drawing/2014/main" id="{00000000-0008-0000-0000-0000FC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14" name="Picture 177" descr="http://www.conermex.com.mx/images/pdf-opt-gris.png">
          <a:extLst>
            <a:ext uri="{FF2B5EF4-FFF2-40B4-BE49-F238E27FC236}">
              <a16:creationId xmlns:a16="http://schemas.microsoft.com/office/drawing/2014/main" id="{00000000-0008-0000-0000-0000FD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15" name="Picture 178" descr="http://www.conermex.com.mx/images/pdf-opt-gris.png">
          <a:extLst>
            <a:ext uri="{FF2B5EF4-FFF2-40B4-BE49-F238E27FC236}">
              <a16:creationId xmlns:a16="http://schemas.microsoft.com/office/drawing/2014/main" id="{00000000-0008-0000-0000-0000FE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16" name="Picture 179" descr="http://www.conermex.com.mx/images/pdf-opt-gris.png">
          <a:extLst>
            <a:ext uri="{FF2B5EF4-FFF2-40B4-BE49-F238E27FC236}">
              <a16:creationId xmlns:a16="http://schemas.microsoft.com/office/drawing/2014/main" id="{00000000-0008-0000-0000-0000FF01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17" name="Picture 180" descr="http://www.conermex.com.mx/images/pdf-opt-gris.png">
          <a:extLst>
            <a:ext uri="{FF2B5EF4-FFF2-40B4-BE49-F238E27FC236}">
              <a16:creationId xmlns:a16="http://schemas.microsoft.com/office/drawing/2014/main" id="{00000000-0008-0000-0000-000000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18" name="Picture 181" descr="http://www.conermex.com.mx/images/pdf-opt-gris.png">
          <a:extLst>
            <a:ext uri="{FF2B5EF4-FFF2-40B4-BE49-F238E27FC236}">
              <a16:creationId xmlns:a16="http://schemas.microsoft.com/office/drawing/2014/main" id="{00000000-0008-0000-0000-000001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19" name="Picture 182" descr="http://www.conermex.com.mx/images/pdf-opt-gris.png">
          <a:extLst>
            <a:ext uri="{FF2B5EF4-FFF2-40B4-BE49-F238E27FC236}">
              <a16:creationId xmlns:a16="http://schemas.microsoft.com/office/drawing/2014/main" id="{00000000-0008-0000-0000-000002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20" name="Picture 183" descr="http://www.conermex.com.mx/images/pdf-opt-gris.png">
          <a:extLst>
            <a:ext uri="{FF2B5EF4-FFF2-40B4-BE49-F238E27FC236}">
              <a16:creationId xmlns:a16="http://schemas.microsoft.com/office/drawing/2014/main" id="{00000000-0008-0000-0000-000003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21" name="Picture 184" descr="http://www.conermex.com.mx/images/pdf-opt-gris.png">
          <a:extLst>
            <a:ext uri="{FF2B5EF4-FFF2-40B4-BE49-F238E27FC236}">
              <a16:creationId xmlns:a16="http://schemas.microsoft.com/office/drawing/2014/main" id="{00000000-0008-0000-0000-000004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22" name="Picture 185" descr="http://www.conermex.com.mx/images/pdf-opt-gris.png">
          <a:extLst>
            <a:ext uri="{FF2B5EF4-FFF2-40B4-BE49-F238E27FC236}">
              <a16:creationId xmlns:a16="http://schemas.microsoft.com/office/drawing/2014/main" id="{00000000-0008-0000-0000-000005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23" name="Picture 186" descr="http://www.conermex.com.mx/images/pdf-opt-gris.png">
          <a:extLst>
            <a:ext uri="{FF2B5EF4-FFF2-40B4-BE49-F238E27FC236}">
              <a16:creationId xmlns:a16="http://schemas.microsoft.com/office/drawing/2014/main" id="{00000000-0008-0000-0000-000006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24" name="Picture 187" descr="http://www.conermex.com.mx/images/pdf-opt-gris.png">
          <a:extLst>
            <a:ext uri="{FF2B5EF4-FFF2-40B4-BE49-F238E27FC236}">
              <a16:creationId xmlns:a16="http://schemas.microsoft.com/office/drawing/2014/main" id="{00000000-0008-0000-0000-000007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25" name="Picture 188" descr="http://www.conermex.com.mx/images/pdf-opt-gris.png">
          <a:extLst>
            <a:ext uri="{FF2B5EF4-FFF2-40B4-BE49-F238E27FC236}">
              <a16:creationId xmlns:a16="http://schemas.microsoft.com/office/drawing/2014/main" id="{00000000-0008-0000-0000-000008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26" name="Picture 189" descr="http://www.conermex.com.mx/images/pdf-opt-gris.png">
          <a:extLst>
            <a:ext uri="{FF2B5EF4-FFF2-40B4-BE49-F238E27FC236}">
              <a16:creationId xmlns:a16="http://schemas.microsoft.com/office/drawing/2014/main" id="{00000000-0008-0000-0000-000009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27" name="Picture 190" descr="http://www.conermex.com.mx/images/pdf-opt-gris.png">
          <a:extLst>
            <a:ext uri="{FF2B5EF4-FFF2-40B4-BE49-F238E27FC236}">
              <a16:creationId xmlns:a16="http://schemas.microsoft.com/office/drawing/2014/main" id="{00000000-0008-0000-0000-00000A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28" name="Picture 191" descr="http://www.conermex.com.mx/images/pdf-opt-gris.png">
          <a:extLst>
            <a:ext uri="{FF2B5EF4-FFF2-40B4-BE49-F238E27FC236}">
              <a16:creationId xmlns:a16="http://schemas.microsoft.com/office/drawing/2014/main" id="{00000000-0008-0000-0000-00000B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29" name="Picture 192" descr="http://www.conermex.com.mx/images/pdf-opt-gris.png">
          <a:extLst>
            <a:ext uri="{FF2B5EF4-FFF2-40B4-BE49-F238E27FC236}">
              <a16:creationId xmlns:a16="http://schemas.microsoft.com/office/drawing/2014/main" id="{00000000-0008-0000-0000-00000C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30" name="Picture 193" descr="http://www.conermex.com.mx/images/pdf-opt-gris.png">
          <a:extLst>
            <a:ext uri="{FF2B5EF4-FFF2-40B4-BE49-F238E27FC236}">
              <a16:creationId xmlns:a16="http://schemas.microsoft.com/office/drawing/2014/main" id="{00000000-0008-0000-0000-00000D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31" name="Picture 194" descr="http://www.conermex.com.mx/images/pdf-opt-gris.png">
          <a:extLst>
            <a:ext uri="{FF2B5EF4-FFF2-40B4-BE49-F238E27FC236}">
              <a16:creationId xmlns:a16="http://schemas.microsoft.com/office/drawing/2014/main" id="{00000000-0008-0000-0000-00000E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32" name="Picture 195" descr="http://www.conermex.com.mx/images/pdf-opt-gris.png">
          <a:extLst>
            <a:ext uri="{FF2B5EF4-FFF2-40B4-BE49-F238E27FC236}">
              <a16:creationId xmlns:a16="http://schemas.microsoft.com/office/drawing/2014/main" id="{00000000-0008-0000-0000-00000F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33" name="Picture 196" descr="http://www.conermex.com.mx/images/pdf-opt-gris.png">
          <a:extLst>
            <a:ext uri="{FF2B5EF4-FFF2-40B4-BE49-F238E27FC236}">
              <a16:creationId xmlns:a16="http://schemas.microsoft.com/office/drawing/2014/main" id="{00000000-0008-0000-0000-000010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34" name="Picture 197" descr="http://www.conermex.com.mx/images/pdf-opt-gris.png">
          <a:extLst>
            <a:ext uri="{FF2B5EF4-FFF2-40B4-BE49-F238E27FC236}">
              <a16:creationId xmlns:a16="http://schemas.microsoft.com/office/drawing/2014/main" id="{00000000-0008-0000-0000-000011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35" name="Picture 198" descr="http://www.conermex.com.mx/images/pdf-opt-gris.png">
          <a:extLst>
            <a:ext uri="{FF2B5EF4-FFF2-40B4-BE49-F238E27FC236}">
              <a16:creationId xmlns:a16="http://schemas.microsoft.com/office/drawing/2014/main" id="{00000000-0008-0000-0000-000012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36" name="Picture 199" descr="http://www.conermex.com.mx/images/pdf-opt-gris.png">
          <a:extLst>
            <a:ext uri="{FF2B5EF4-FFF2-40B4-BE49-F238E27FC236}">
              <a16:creationId xmlns:a16="http://schemas.microsoft.com/office/drawing/2014/main" id="{00000000-0008-0000-0000-000013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37" name="Picture 200" descr="http://www.conermex.com.mx/images/pdf-opt-gris.png">
          <a:extLst>
            <a:ext uri="{FF2B5EF4-FFF2-40B4-BE49-F238E27FC236}">
              <a16:creationId xmlns:a16="http://schemas.microsoft.com/office/drawing/2014/main" id="{00000000-0008-0000-0000-000014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38" name="Picture 201" descr="http://www.conermex.com.mx/images/pdf-opt-gris.png">
          <a:extLst>
            <a:ext uri="{FF2B5EF4-FFF2-40B4-BE49-F238E27FC236}">
              <a16:creationId xmlns:a16="http://schemas.microsoft.com/office/drawing/2014/main" id="{00000000-0008-0000-0000-000015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39" name="Picture 202" descr="http://www.conermex.com.mx/images/pdf-opt-gris.png">
          <a:extLst>
            <a:ext uri="{FF2B5EF4-FFF2-40B4-BE49-F238E27FC236}">
              <a16:creationId xmlns:a16="http://schemas.microsoft.com/office/drawing/2014/main" id="{00000000-0008-0000-0000-000016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40" name="Picture 203" descr="http://www.conermex.com.mx/images/pdf-opt-gris.png">
          <a:extLst>
            <a:ext uri="{FF2B5EF4-FFF2-40B4-BE49-F238E27FC236}">
              <a16:creationId xmlns:a16="http://schemas.microsoft.com/office/drawing/2014/main" id="{00000000-0008-0000-0000-000017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41" name="Picture 204" descr="http://www.conermex.com.mx/images/pdf-opt-gris.png">
          <a:extLst>
            <a:ext uri="{FF2B5EF4-FFF2-40B4-BE49-F238E27FC236}">
              <a16:creationId xmlns:a16="http://schemas.microsoft.com/office/drawing/2014/main" id="{00000000-0008-0000-0000-000018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42" name="Picture 205" descr="http://www.conermex.com.mx/images/pdf-opt-gris.png">
          <a:extLst>
            <a:ext uri="{FF2B5EF4-FFF2-40B4-BE49-F238E27FC236}">
              <a16:creationId xmlns:a16="http://schemas.microsoft.com/office/drawing/2014/main" id="{00000000-0008-0000-0000-000019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43" name="Picture 206" descr="http://www.conermex.com.mx/images/pdf-opt-gris.png">
          <a:extLst>
            <a:ext uri="{FF2B5EF4-FFF2-40B4-BE49-F238E27FC236}">
              <a16:creationId xmlns:a16="http://schemas.microsoft.com/office/drawing/2014/main" id="{00000000-0008-0000-0000-00001A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44" name="Picture 207" descr="http://www.conermex.com.mx/images/pdf-opt-gris.png">
          <a:extLst>
            <a:ext uri="{FF2B5EF4-FFF2-40B4-BE49-F238E27FC236}">
              <a16:creationId xmlns:a16="http://schemas.microsoft.com/office/drawing/2014/main" id="{00000000-0008-0000-0000-00001B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45" name="Picture 208" descr="http://www.conermex.com.mx/images/pdf-opt-gris.png">
          <a:extLst>
            <a:ext uri="{FF2B5EF4-FFF2-40B4-BE49-F238E27FC236}">
              <a16:creationId xmlns:a16="http://schemas.microsoft.com/office/drawing/2014/main" id="{00000000-0008-0000-0000-00001C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46" name="Picture 209" descr="http://www.conermex.com.mx/images/pdf-opt-gris.png">
          <a:extLst>
            <a:ext uri="{FF2B5EF4-FFF2-40B4-BE49-F238E27FC236}">
              <a16:creationId xmlns:a16="http://schemas.microsoft.com/office/drawing/2014/main" id="{00000000-0008-0000-0000-00001D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47" name="Picture 210" descr="http://www.conermex.com.mx/images/pdf-opt-gris.png">
          <a:extLst>
            <a:ext uri="{FF2B5EF4-FFF2-40B4-BE49-F238E27FC236}">
              <a16:creationId xmlns:a16="http://schemas.microsoft.com/office/drawing/2014/main" id="{00000000-0008-0000-0000-00001E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48" name="Picture 211" descr="http://www.conermex.com.mx/images/pdf-opt-gris.png">
          <a:extLst>
            <a:ext uri="{FF2B5EF4-FFF2-40B4-BE49-F238E27FC236}">
              <a16:creationId xmlns:a16="http://schemas.microsoft.com/office/drawing/2014/main" id="{00000000-0008-0000-0000-00001F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49" name="Picture 212" descr="http://www.conermex.com.mx/images/pdf-opt-gris.png">
          <a:extLst>
            <a:ext uri="{FF2B5EF4-FFF2-40B4-BE49-F238E27FC236}">
              <a16:creationId xmlns:a16="http://schemas.microsoft.com/office/drawing/2014/main" id="{00000000-0008-0000-0000-000020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50" name="Picture 213" descr="http://www.conermex.com.mx/images/pdf-opt-gris.png">
          <a:extLst>
            <a:ext uri="{FF2B5EF4-FFF2-40B4-BE49-F238E27FC236}">
              <a16:creationId xmlns:a16="http://schemas.microsoft.com/office/drawing/2014/main" id="{00000000-0008-0000-0000-000021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51" name="Picture 214" descr="http://www.conermex.com.mx/images/pdf-opt-gris.png">
          <a:extLst>
            <a:ext uri="{FF2B5EF4-FFF2-40B4-BE49-F238E27FC236}">
              <a16:creationId xmlns:a16="http://schemas.microsoft.com/office/drawing/2014/main" id="{00000000-0008-0000-0000-000022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52" name="Picture 215" descr="http://www.conermex.com.mx/images/pdf-opt-gris.png">
          <a:extLst>
            <a:ext uri="{FF2B5EF4-FFF2-40B4-BE49-F238E27FC236}">
              <a16:creationId xmlns:a16="http://schemas.microsoft.com/office/drawing/2014/main" id="{00000000-0008-0000-0000-000023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53" name="Picture 216" descr="http://www.conermex.com.mx/images/pdf-opt-gris.png">
          <a:extLst>
            <a:ext uri="{FF2B5EF4-FFF2-40B4-BE49-F238E27FC236}">
              <a16:creationId xmlns:a16="http://schemas.microsoft.com/office/drawing/2014/main" id="{00000000-0008-0000-0000-000024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54" name="Picture 217" descr="http://www.conermex.com.mx/images/pdf-opt-gris.png">
          <a:extLst>
            <a:ext uri="{FF2B5EF4-FFF2-40B4-BE49-F238E27FC236}">
              <a16:creationId xmlns:a16="http://schemas.microsoft.com/office/drawing/2014/main" id="{00000000-0008-0000-0000-000025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55" name="Picture 218" descr="http://www.conermex.com.mx/images/pdf-opt-gris.png">
          <a:extLst>
            <a:ext uri="{FF2B5EF4-FFF2-40B4-BE49-F238E27FC236}">
              <a16:creationId xmlns:a16="http://schemas.microsoft.com/office/drawing/2014/main" id="{00000000-0008-0000-0000-000026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56" name="Picture 219" descr="http://www.conermex.com.mx/images/pdf-opt-gris.png">
          <a:extLst>
            <a:ext uri="{FF2B5EF4-FFF2-40B4-BE49-F238E27FC236}">
              <a16:creationId xmlns:a16="http://schemas.microsoft.com/office/drawing/2014/main" id="{00000000-0008-0000-0000-000027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57" name="Picture 220" descr="http://www.conermex.com.mx/images/pdf-opt-gris.png">
          <a:extLst>
            <a:ext uri="{FF2B5EF4-FFF2-40B4-BE49-F238E27FC236}">
              <a16:creationId xmlns:a16="http://schemas.microsoft.com/office/drawing/2014/main" id="{00000000-0008-0000-0000-000028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58" name="Picture 221" descr="http://www.conermex.com.mx/images/pdf-opt-gris.png">
          <a:extLst>
            <a:ext uri="{FF2B5EF4-FFF2-40B4-BE49-F238E27FC236}">
              <a16:creationId xmlns:a16="http://schemas.microsoft.com/office/drawing/2014/main" id="{00000000-0008-0000-0000-000029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twoCellAnchor editAs="oneCell">
    <xdr:from>
      <xdr:col>0</xdr:col>
      <xdr:colOff>0</xdr:colOff>
      <xdr:row>1</xdr:row>
      <xdr:rowOff>0</xdr:rowOff>
    </xdr:from>
    <xdr:to>
      <xdr:col>0</xdr:col>
      <xdr:colOff>285750</xdr:colOff>
      <xdr:row>1</xdr:row>
      <xdr:rowOff>274010</xdr:rowOff>
    </xdr:to>
    <xdr:pic>
      <xdr:nvPicPr>
        <xdr:cNvPr id="1159" name="Picture 222" descr="http://www.conermex.com.mx/images/pdf-opt-gris.png">
          <a:extLst>
            <a:ext uri="{FF2B5EF4-FFF2-40B4-BE49-F238E27FC236}">
              <a16:creationId xmlns:a16="http://schemas.microsoft.com/office/drawing/2014/main" id="{00000000-0008-0000-0000-00002A02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0" y="731520"/>
          <a:ext cx="285750" cy="274010"/>
        </a:xfrm>
        <a:prstGeom prst="rect">
          <a:avLst/>
        </a:prstGeom>
        <a:noFill/>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Users\Jorge\AppData\Local\Temp\Rar$DI02.714\03%20TIR%20Adriana%20Lozano%20V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Users\SAMSUNG\Documents\1.-GOLDEN%20HARVEST%20ORG%202013%20ok\4.-%20INTERCONEXION\1.-%20GRID%20%20TIE%20%20PROJECTS\1.-DIM%20GRID%20TIE%20SISTEMS\2.-GOLDEN%20MASTER%20TOOL%20CNX.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CFlores/Documents/Conermex/Comercial/Cotizaciones/2016/CFE%20residencial%20propio/C&#225;lculo%20propuesta%20CFE%2026feb2015%20rev2.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CFlores/Documents/Conermex/Comercial/Precios-%20Pol&#237;ticas/2016/Costeo%20Lista%20de%20Precios%20rev%2018abr2016.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F:\Users\SAMSUNG\Documents\01.-GOLDEN%20HARVEST%20ORG%202013%20ok\4.-%20INTERCONEXION\1.-PROYECTOS%20INTERCONEXION\1.-PROYECTOS%20%20Y%20COTIZACIONES%20%202014\2.-RETORNO%20DE%20INVERSION%20CNX.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Tariff"/>
      <sheetName val="Facturacion1"/>
      <sheetName val="Facturacion2"/>
      <sheetName val="RInversion"/>
      <sheetName val="ciudades"/>
      <sheetName val="Amortizaciones"/>
      <sheetName val="Sistemas"/>
    </sheetNames>
    <sheetDataSet>
      <sheetData sheetId="0" refreshError="1">
        <row r="4">
          <cell r="B4">
            <v>2</v>
          </cell>
          <cell r="J4">
            <v>2.94</v>
          </cell>
          <cell r="R4">
            <v>36722.530938079341</v>
          </cell>
        </row>
        <row r="5">
          <cell r="J5">
            <v>0.80400000000000005</v>
          </cell>
          <cell r="R5">
            <v>0</v>
          </cell>
        </row>
        <row r="6">
          <cell r="R6">
            <v>0.16</v>
          </cell>
        </row>
        <row r="7">
          <cell r="J7">
            <v>250</v>
          </cell>
          <cell r="R7">
            <v>0.16</v>
          </cell>
        </row>
        <row r="12">
          <cell r="R12">
            <v>7.0000000000000007E-2</v>
          </cell>
        </row>
        <row r="13">
          <cell r="R13">
            <v>7.0000000000000007E-2</v>
          </cell>
        </row>
        <row r="14">
          <cell r="R14">
            <v>7.0000000000000007E-2</v>
          </cell>
        </row>
        <row r="16">
          <cell r="R16">
            <v>1</v>
          </cell>
        </row>
        <row r="19">
          <cell r="R19">
            <v>0.1087</v>
          </cell>
        </row>
        <row r="20">
          <cell r="R20">
            <v>9.9999999999999998E-13</v>
          </cell>
        </row>
        <row r="23">
          <cell r="K23">
            <v>20539.369216679996</v>
          </cell>
        </row>
        <row r="27">
          <cell r="H27">
            <v>125238.51951122576</v>
          </cell>
        </row>
      </sheetData>
      <sheetData sheetId="1" refreshError="1">
        <row r="2">
          <cell r="E2">
            <v>3.6509999999999998</v>
          </cell>
        </row>
        <row r="3">
          <cell r="E3">
            <v>79.05</v>
          </cell>
        </row>
        <row r="4">
          <cell r="D4">
            <v>75</v>
          </cell>
          <cell r="E4">
            <v>0.76100000000000001</v>
          </cell>
        </row>
        <row r="5">
          <cell r="E5">
            <v>0.93</v>
          </cell>
        </row>
        <row r="6">
          <cell r="E6">
            <v>2.718</v>
          </cell>
        </row>
        <row r="11">
          <cell r="D11">
            <v>65</v>
          </cell>
        </row>
      </sheetData>
      <sheetData sheetId="2" refreshError="1"/>
      <sheetData sheetId="3" refreshError="1"/>
      <sheetData sheetId="4" refreshError="1">
        <row r="243">
          <cell r="D243" t="str">
            <v>06/9</v>
          </cell>
        </row>
        <row r="244">
          <cell r="D244" t="str">
            <v>04/12</v>
          </cell>
        </row>
      </sheetData>
      <sheetData sheetId="5" refreshError="1">
        <row r="2">
          <cell r="A2">
            <v>1</v>
          </cell>
          <cell r="B2">
            <v>1</v>
          </cell>
          <cell r="C2" t="str">
            <v>CEN</v>
          </cell>
          <cell r="D2" t="str">
            <v>México</v>
          </cell>
          <cell r="E2" t="str">
            <v>Chapingo</v>
          </cell>
          <cell r="F2">
            <v>4.739903069466882</v>
          </cell>
          <cell r="G2">
            <v>5.371890145395799</v>
          </cell>
          <cell r="H2">
            <v>5.8985460420032299</v>
          </cell>
          <cell r="I2">
            <v>6.1092084006462031</v>
          </cell>
          <cell r="J2">
            <v>6.2145395799676892</v>
          </cell>
          <cell r="K2">
            <v>5.6878836833602584</v>
          </cell>
          <cell r="L2">
            <v>5.4772213247172852</v>
          </cell>
          <cell r="M2">
            <v>5.4772213247172852</v>
          </cell>
          <cell r="N2">
            <v>5.2665589660743128</v>
          </cell>
          <cell r="O2">
            <v>4.9505654281098543</v>
          </cell>
          <cell r="P2">
            <v>4.8452342487883673</v>
          </cell>
          <cell r="Q2">
            <v>4.1079159935379641</v>
          </cell>
          <cell r="R2" t="str">
            <v>I</v>
          </cell>
          <cell r="S2" t="str">
            <v>I</v>
          </cell>
          <cell r="T2" t="str">
            <v>I</v>
          </cell>
          <cell r="U2" t="str">
            <v>V</v>
          </cell>
          <cell r="V2" t="str">
            <v>V</v>
          </cell>
          <cell r="W2" t="str">
            <v>V</v>
          </cell>
          <cell r="X2" t="str">
            <v>V</v>
          </cell>
          <cell r="Y2" t="str">
            <v>V</v>
          </cell>
          <cell r="Z2" t="str">
            <v>V</v>
          </cell>
          <cell r="AA2" t="str">
            <v>I</v>
          </cell>
          <cell r="AB2" t="str">
            <v>I</v>
          </cell>
          <cell r="AC2" t="str">
            <v>I</v>
          </cell>
        </row>
        <row r="3">
          <cell r="A3">
            <v>2</v>
          </cell>
          <cell r="B3">
            <v>1</v>
          </cell>
          <cell r="C3" t="str">
            <v>CEN</v>
          </cell>
          <cell r="D3" t="str">
            <v>D.F.</v>
          </cell>
          <cell r="E3" t="str">
            <v>DF y Edo. Mex.</v>
          </cell>
          <cell r="F3">
            <v>4.6345718901453958</v>
          </cell>
          <cell r="G3">
            <v>5.4772213247172852</v>
          </cell>
          <cell r="H3">
            <v>6.1092084006462031</v>
          </cell>
          <cell r="I3">
            <v>6.1092084006462031</v>
          </cell>
          <cell r="J3">
            <v>6.0038772213247169</v>
          </cell>
          <cell r="K3">
            <v>5.371890145395799</v>
          </cell>
          <cell r="L3">
            <v>5.1612277867528267</v>
          </cell>
          <cell r="M3">
            <v>5.1612277867528267</v>
          </cell>
          <cell r="N3">
            <v>4.9505654281098543</v>
          </cell>
          <cell r="O3">
            <v>4.6345718901453958</v>
          </cell>
          <cell r="P3">
            <v>4.4239095315024226</v>
          </cell>
          <cell r="Q3">
            <v>4.0025848142164779</v>
          </cell>
          <cell r="R3" t="str">
            <v>I</v>
          </cell>
          <cell r="S3" t="str">
            <v>I</v>
          </cell>
          <cell r="T3" t="str">
            <v>I</v>
          </cell>
          <cell r="U3" t="str">
            <v>V</v>
          </cell>
          <cell r="V3" t="str">
            <v>V</v>
          </cell>
          <cell r="W3" t="str">
            <v>V</v>
          </cell>
          <cell r="X3" t="str">
            <v>V</v>
          </cell>
          <cell r="Y3" t="str">
            <v>V</v>
          </cell>
          <cell r="Z3" t="str">
            <v>V</v>
          </cell>
          <cell r="AA3" t="str">
            <v>I</v>
          </cell>
          <cell r="AB3" t="str">
            <v>I</v>
          </cell>
          <cell r="AC3" t="str">
            <v>I</v>
          </cell>
        </row>
        <row r="4">
          <cell r="A4">
            <v>3</v>
          </cell>
          <cell r="B4">
            <v>1</v>
          </cell>
          <cell r="C4" t="str">
            <v>CEN</v>
          </cell>
          <cell r="D4" t="str">
            <v>D.F.</v>
          </cell>
          <cell r="E4" t="str">
            <v>Iztapalapa</v>
          </cell>
          <cell r="F4">
            <v>4.0359541935483936</v>
          </cell>
          <cell r="G4">
            <v>4.6150392857142863</v>
          </cell>
          <cell r="H4">
            <v>4.9958187096774189</v>
          </cell>
          <cell r="I4">
            <v>4.8955440000000001</v>
          </cell>
          <cell r="J4">
            <v>4.7777574193548391</v>
          </cell>
          <cell r="K4">
            <v>4.1206080000000007</v>
          </cell>
          <cell r="L4">
            <v>3.35722064516129</v>
          </cell>
          <cell r="M4">
            <v>3.7603277419354839</v>
          </cell>
          <cell r="N4">
            <v>3.2775048000000004</v>
          </cell>
          <cell r="O4">
            <v>2.8731019354838709</v>
          </cell>
          <cell r="P4">
            <v>4.2848580000000016</v>
          </cell>
          <cell r="Q4">
            <v>4.3237335483870973</v>
          </cell>
          <cell r="R4" t="str">
            <v>I</v>
          </cell>
          <cell r="S4" t="str">
            <v>I</v>
          </cell>
          <cell r="T4" t="str">
            <v>I</v>
          </cell>
          <cell r="U4" t="str">
            <v>V</v>
          </cell>
          <cell r="V4" t="str">
            <v>V</v>
          </cell>
          <cell r="W4" t="str">
            <v>V</v>
          </cell>
          <cell r="X4" t="str">
            <v>V</v>
          </cell>
          <cell r="Y4" t="str">
            <v>V</v>
          </cell>
          <cell r="Z4" t="str">
            <v>V</v>
          </cell>
          <cell r="AA4" t="str">
            <v>I</v>
          </cell>
          <cell r="AB4" t="str">
            <v>I</v>
          </cell>
          <cell r="AC4" t="str">
            <v>I</v>
          </cell>
        </row>
        <row r="5">
          <cell r="A5">
            <v>4</v>
          </cell>
          <cell r="B5">
            <v>1</v>
          </cell>
          <cell r="C5" t="str">
            <v>Noreste</v>
          </cell>
          <cell r="D5" t="str">
            <v>Durango</v>
          </cell>
          <cell r="E5" t="str">
            <v>Durango</v>
          </cell>
          <cell r="F5">
            <v>4.6345718901453958</v>
          </cell>
          <cell r="G5">
            <v>5.6878836833602584</v>
          </cell>
          <cell r="H5">
            <v>6.8465266558966071</v>
          </cell>
          <cell r="I5">
            <v>7.373182552504038</v>
          </cell>
          <cell r="J5">
            <v>7.8998384491114688</v>
          </cell>
          <cell r="K5">
            <v>7.1625201938610656</v>
          </cell>
          <cell r="L5">
            <v>6.3198707592891754</v>
          </cell>
          <cell r="M5">
            <v>5.8985460420032299</v>
          </cell>
          <cell r="N5">
            <v>6.0038772213247169</v>
          </cell>
          <cell r="O5">
            <v>5.371890145395799</v>
          </cell>
          <cell r="P5">
            <v>5.0558966074313405</v>
          </cell>
          <cell r="Q5">
            <v>4.1079159935379641</v>
          </cell>
          <cell r="R5" t="str">
            <v>I</v>
          </cell>
          <cell r="S5" t="str">
            <v>I</v>
          </cell>
          <cell r="T5" t="str">
            <v>I</v>
          </cell>
          <cell r="U5" t="str">
            <v>V</v>
          </cell>
          <cell r="V5" t="str">
            <v>V</v>
          </cell>
          <cell r="W5" t="str">
            <v>V</v>
          </cell>
          <cell r="X5" t="str">
            <v>V</v>
          </cell>
          <cell r="Y5" t="str">
            <v>V</v>
          </cell>
          <cell r="Z5" t="str">
            <v>V</v>
          </cell>
          <cell r="AA5" t="str">
            <v>I</v>
          </cell>
          <cell r="AB5" t="str">
            <v>I</v>
          </cell>
          <cell r="AC5" t="str">
            <v>I</v>
          </cell>
        </row>
        <row r="6">
          <cell r="A6">
            <v>5</v>
          </cell>
          <cell r="B6">
            <v>1</v>
          </cell>
          <cell r="C6" t="str">
            <v>SUR</v>
          </cell>
          <cell r="D6" t="str">
            <v>Oaxaca</v>
          </cell>
          <cell r="E6" t="str">
            <v>Oaxaca</v>
          </cell>
          <cell r="F6">
            <v>5.1612277867528267</v>
          </cell>
          <cell r="G6">
            <v>6.0038772213247169</v>
          </cell>
          <cell r="H6">
            <v>6.1092084006462031</v>
          </cell>
          <cell r="I6">
            <v>5.7932148626817437</v>
          </cell>
          <cell r="J6">
            <v>6.3198707592891754</v>
          </cell>
          <cell r="K6">
            <v>5.6878836833602584</v>
          </cell>
          <cell r="L6">
            <v>6.2145395799676892</v>
          </cell>
          <cell r="M6">
            <v>5.8985460420032299</v>
          </cell>
          <cell r="N6">
            <v>5.2665589660743128</v>
          </cell>
          <cell r="O6">
            <v>5.1612277867528267</v>
          </cell>
          <cell r="P6">
            <v>5.0558966074313405</v>
          </cell>
          <cell r="Q6">
            <v>4.6345718901453958</v>
          </cell>
          <cell r="R6" t="str">
            <v>I</v>
          </cell>
          <cell r="S6" t="str">
            <v>I</v>
          </cell>
          <cell r="T6" t="str">
            <v>I</v>
          </cell>
          <cell r="U6" t="str">
            <v>V</v>
          </cell>
          <cell r="V6" t="str">
            <v>V</v>
          </cell>
          <cell r="W6" t="str">
            <v>V</v>
          </cell>
          <cell r="X6" t="str">
            <v>V</v>
          </cell>
          <cell r="Y6" t="str">
            <v>V</v>
          </cell>
          <cell r="Z6" t="str">
            <v>V</v>
          </cell>
          <cell r="AA6" t="str">
            <v>I</v>
          </cell>
          <cell r="AB6" t="str">
            <v>I</v>
          </cell>
          <cell r="AC6" t="str">
            <v>I</v>
          </cell>
        </row>
        <row r="7">
          <cell r="A7">
            <v>6</v>
          </cell>
          <cell r="B7">
            <v>1</v>
          </cell>
          <cell r="C7" t="str">
            <v>CEN</v>
          </cell>
          <cell r="D7" t="str">
            <v>Jalisco</v>
          </cell>
          <cell r="E7" t="str">
            <v>Guadalajara</v>
          </cell>
          <cell r="F7">
            <v>4.8452342487883673</v>
          </cell>
          <cell r="G7">
            <v>5.7932148626817437</v>
          </cell>
          <cell r="H7">
            <v>6.6358642972536339</v>
          </cell>
          <cell r="I7">
            <v>7.7945072697899835</v>
          </cell>
          <cell r="J7">
            <v>8.1105008077544412</v>
          </cell>
          <cell r="K7">
            <v>6.2145395799676892</v>
          </cell>
          <cell r="L7">
            <v>5.5825525040387713</v>
          </cell>
          <cell r="M7">
            <v>5.5825525040387713</v>
          </cell>
          <cell r="N7">
            <v>5.4772213247172852</v>
          </cell>
          <cell r="O7">
            <v>5.1612277867528267</v>
          </cell>
          <cell r="P7">
            <v>5.0558966074313405</v>
          </cell>
          <cell r="Q7">
            <v>4.2132471728594503</v>
          </cell>
          <cell r="R7" t="str">
            <v>I</v>
          </cell>
          <cell r="S7" t="str">
            <v>I</v>
          </cell>
          <cell r="T7" t="str">
            <v>I</v>
          </cell>
          <cell r="U7" t="str">
            <v>V</v>
          </cell>
          <cell r="V7" t="str">
            <v>V</v>
          </cell>
          <cell r="W7" t="str">
            <v>V</v>
          </cell>
          <cell r="X7" t="str">
            <v>V</v>
          </cell>
          <cell r="Y7" t="str">
            <v>V</v>
          </cell>
          <cell r="Z7" t="str">
            <v>V</v>
          </cell>
          <cell r="AA7" t="str">
            <v>I</v>
          </cell>
          <cell r="AB7" t="str">
            <v>I</v>
          </cell>
          <cell r="AC7" t="str">
            <v>I</v>
          </cell>
        </row>
        <row r="8">
          <cell r="A8">
            <v>7</v>
          </cell>
          <cell r="B8">
            <v>1</v>
          </cell>
          <cell r="C8" t="str">
            <v>CEN</v>
          </cell>
          <cell r="D8" t="str">
            <v>Puebla</v>
          </cell>
          <cell r="E8" t="str">
            <v>Puebla</v>
          </cell>
          <cell r="F8">
            <v>5.1612277867528267</v>
          </cell>
          <cell r="G8">
            <v>5.7932148626817437</v>
          </cell>
          <cell r="H8">
            <v>6.5305331179321477</v>
          </cell>
          <cell r="I8">
            <v>6.741195476575121</v>
          </cell>
          <cell r="J8">
            <v>6.4252019386106616</v>
          </cell>
          <cell r="K8">
            <v>6.0038772213247169</v>
          </cell>
          <cell r="L8">
            <v>6.1092084006462031</v>
          </cell>
          <cell r="M8">
            <v>6.1092084006462031</v>
          </cell>
          <cell r="N8">
            <v>5.4772213247172852</v>
          </cell>
          <cell r="O8">
            <v>5.2665589660743128</v>
          </cell>
          <cell r="P8">
            <v>4.9505654281098543</v>
          </cell>
          <cell r="Q8">
            <v>4.6345718901453958</v>
          </cell>
          <cell r="R8" t="str">
            <v>I</v>
          </cell>
          <cell r="S8" t="str">
            <v>I</v>
          </cell>
          <cell r="T8" t="str">
            <v>I</v>
          </cell>
          <cell r="U8" t="str">
            <v>V</v>
          </cell>
          <cell r="V8" t="str">
            <v>V</v>
          </cell>
          <cell r="W8" t="str">
            <v>V</v>
          </cell>
          <cell r="X8" t="str">
            <v>V</v>
          </cell>
          <cell r="Y8" t="str">
            <v>V</v>
          </cell>
          <cell r="Z8" t="str">
            <v>V</v>
          </cell>
          <cell r="AA8" t="str">
            <v>I</v>
          </cell>
          <cell r="AB8" t="str">
            <v>I</v>
          </cell>
          <cell r="AC8" t="str">
            <v>I</v>
          </cell>
        </row>
        <row r="9">
          <cell r="A9">
            <v>8</v>
          </cell>
          <cell r="B9">
            <v>1</v>
          </cell>
          <cell r="C9" t="str">
            <v>Disponible</v>
          </cell>
          <cell r="D9" t="str">
            <v>Disponible</v>
          </cell>
          <cell r="E9" t="str">
            <v>Disponible</v>
          </cell>
          <cell r="F9">
            <v>4.7446701236571558</v>
          </cell>
          <cell r="G9">
            <v>5.534620197982262</v>
          </cell>
          <cell r="H9">
            <v>6.1608150891507778</v>
          </cell>
          <cell r="I9">
            <v>6.4022944232633279</v>
          </cell>
          <cell r="J9">
            <v>6.5359408822018557</v>
          </cell>
          <cell r="K9">
            <v>5.7498860724671124</v>
          </cell>
          <cell r="L9">
            <v>5.4602630000818921</v>
          </cell>
          <cell r="M9">
            <v>5.4125185488710041</v>
          </cell>
          <cell r="N9">
            <v>5.1027868615739669</v>
          </cell>
          <cell r="O9">
            <v>4.7741634198164116</v>
          </cell>
          <cell r="P9">
            <v>4.8103224329563812</v>
          </cell>
          <cell r="Q9">
            <v>4.2892201861185351</v>
          </cell>
          <cell r="R9" t="str">
            <v>I</v>
          </cell>
          <cell r="S9" t="str">
            <v>I</v>
          </cell>
          <cell r="T9" t="str">
            <v>I</v>
          </cell>
          <cell r="U9" t="str">
            <v>V</v>
          </cell>
          <cell r="V9" t="str">
            <v>V</v>
          </cell>
          <cell r="W9" t="str">
            <v>V</v>
          </cell>
          <cell r="X9" t="str">
            <v>V</v>
          </cell>
          <cell r="Y9" t="str">
            <v>V</v>
          </cell>
          <cell r="Z9" t="str">
            <v>V</v>
          </cell>
          <cell r="AA9" t="str">
            <v>I</v>
          </cell>
          <cell r="AB9" t="str">
            <v>I</v>
          </cell>
          <cell r="AC9" t="str">
            <v>I</v>
          </cell>
        </row>
        <row r="10">
          <cell r="A10">
            <v>9</v>
          </cell>
          <cell r="B10">
            <v>1</v>
          </cell>
          <cell r="C10" t="str">
            <v>Disponible</v>
          </cell>
          <cell r="D10" t="str">
            <v>Disponible</v>
          </cell>
          <cell r="E10" t="str">
            <v>Disponible</v>
          </cell>
          <cell r="F10">
            <v>4.7446701236571558</v>
          </cell>
          <cell r="G10">
            <v>5.534620197982262</v>
          </cell>
          <cell r="H10">
            <v>6.1608150891507778</v>
          </cell>
          <cell r="I10">
            <v>6.4022944232633279</v>
          </cell>
          <cell r="J10">
            <v>6.5359408822018557</v>
          </cell>
          <cell r="K10">
            <v>5.7498860724671124</v>
          </cell>
          <cell r="L10">
            <v>5.4602630000818921</v>
          </cell>
          <cell r="M10">
            <v>5.4125185488710041</v>
          </cell>
          <cell r="N10">
            <v>5.1027868615739669</v>
          </cell>
          <cell r="O10">
            <v>4.7741634198164116</v>
          </cell>
          <cell r="P10">
            <v>4.8103224329563812</v>
          </cell>
          <cell r="Q10">
            <v>4.2892201861185351</v>
          </cell>
          <cell r="R10" t="str">
            <v>I</v>
          </cell>
          <cell r="S10" t="str">
            <v>I</v>
          </cell>
          <cell r="T10" t="str">
            <v>I</v>
          </cell>
          <cell r="U10" t="str">
            <v>V</v>
          </cell>
          <cell r="V10" t="str">
            <v>V</v>
          </cell>
          <cell r="W10" t="str">
            <v>V</v>
          </cell>
          <cell r="X10" t="str">
            <v>V</v>
          </cell>
          <cell r="Y10" t="str">
            <v>V</v>
          </cell>
          <cell r="Z10" t="str">
            <v>V</v>
          </cell>
          <cell r="AA10" t="str">
            <v>I</v>
          </cell>
          <cell r="AB10" t="str">
            <v>I</v>
          </cell>
          <cell r="AC10" t="str">
            <v>I</v>
          </cell>
        </row>
        <row r="11">
          <cell r="A11">
            <v>10</v>
          </cell>
          <cell r="B11">
            <v>1</v>
          </cell>
          <cell r="C11" t="str">
            <v>Disponible</v>
          </cell>
          <cell r="D11" t="str">
            <v>Disponible</v>
          </cell>
          <cell r="E11" t="str">
            <v>Disponible</v>
          </cell>
          <cell r="F11">
            <v>4.7446701236571558</v>
          </cell>
          <cell r="G11">
            <v>5.534620197982262</v>
          </cell>
          <cell r="H11">
            <v>6.1608150891507778</v>
          </cell>
          <cell r="I11">
            <v>6.4022944232633279</v>
          </cell>
          <cell r="J11">
            <v>6.5359408822018557</v>
          </cell>
          <cell r="K11">
            <v>5.7498860724671124</v>
          </cell>
          <cell r="L11">
            <v>5.4602630000818921</v>
          </cell>
          <cell r="M11">
            <v>5.4125185488710041</v>
          </cell>
          <cell r="N11">
            <v>5.1027868615739669</v>
          </cell>
          <cell r="O11">
            <v>4.7741634198164116</v>
          </cell>
          <cell r="P11">
            <v>4.8103224329563812</v>
          </cell>
          <cell r="Q11">
            <v>4.2892201861185351</v>
          </cell>
          <cell r="R11" t="str">
            <v>I</v>
          </cell>
          <cell r="S11" t="str">
            <v>I</v>
          </cell>
          <cell r="T11" t="str">
            <v>I</v>
          </cell>
          <cell r="U11" t="str">
            <v>V</v>
          </cell>
          <cell r="V11" t="str">
            <v>V</v>
          </cell>
          <cell r="W11" t="str">
            <v>V</v>
          </cell>
          <cell r="X11" t="str">
            <v>V</v>
          </cell>
          <cell r="Y11" t="str">
            <v>V</v>
          </cell>
          <cell r="Z11" t="str">
            <v>V</v>
          </cell>
          <cell r="AA11" t="str">
            <v>I</v>
          </cell>
          <cell r="AB11" t="str">
            <v>I</v>
          </cell>
          <cell r="AC11" t="str">
            <v>I</v>
          </cell>
        </row>
        <row r="12">
          <cell r="A12">
            <v>11</v>
          </cell>
          <cell r="B12">
            <v>1</v>
          </cell>
          <cell r="C12" t="str">
            <v>Disponible</v>
          </cell>
          <cell r="D12" t="str">
            <v>Disponible</v>
          </cell>
          <cell r="E12" t="str">
            <v>Disponible</v>
          </cell>
          <cell r="F12">
            <v>4.7446701236571558</v>
          </cell>
          <cell r="G12">
            <v>5.534620197982262</v>
          </cell>
          <cell r="H12">
            <v>6.1608150891507778</v>
          </cell>
          <cell r="I12">
            <v>6.4022944232633279</v>
          </cell>
          <cell r="J12">
            <v>6.5359408822018557</v>
          </cell>
          <cell r="K12">
            <v>5.7498860724671124</v>
          </cell>
          <cell r="L12">
            <v>5.4602630000818921</v>
          </cell>
          <cell r="M12">
            <v>5.4125185488710041</v>
          </cell>
          <cell r="N12">
            <v>5.1027868615739669</v>
          </cell>
          <cell r="O12">
            <v>4.7741634198164116</v>
          </cell>
          <cell r="P12">
            <v>4.8103224329563812</v>
          </cell>
          <cell r="Q12">
            <v>4.2892201861185351</v>
          </cell>
          <cell r="R12" t="str">
            <v>I</v>
          </cell>
          <cell r="S12" t="str">
            <v>I</v>
          </cell>
          <cell r="T12" t="str">
            <v>I</v>
          </cell>
          <cell r="U12" t="str">
            <v>V</v>
          </cell>
          <cell r="V12" t="str">
            <v>V</v>
          </cell>
          <cell r="W12" t="str">
            <v>V</v>
          </cell>
          <cell r="X12" t="str">
            <v>V</v>
          </cell>
          <cell r="Y12" t="str">
            <v>V</v>
          </cell>
          <cell r="Z12" t="str">
            <v>V</v>
          </cell>
          <cell r="AA12" t="str">
            <v>I</v>
          </cell>
          <cell r="AB12" t="str">
            <v>I</v>
          </cell>
          <cell r="AC12" t="str">
            <v>I</v>
          </cell>
        </row>
        <row r="13">
          <cell r="A13">
            <v>12</v>
          </cell>
          <cell r="B13">
            <v>1</v>
          </cell>
          <cell r="C13" t="str">
            <v>Disponible</v>
          </cell>
          <cell r="D13" t="str">
            <v>Disponible</v>
          </cell>
          <cell r="E13" t="str">
            <v>Disponible</v>
          </cell>
          <cell r="F13">
            <v>4.7446701236571558</v>
          </cell>
          <cell r="G13">
            <v>5.534620197982262</v>
          </cell>
          <cell r="H13">
            <v>6.1608150891507778</v>
          </cell>
          <cell r="I13">
            <v>6.4022944232633279</v>
          </cell>
          <cell r="J13">
            <v>6.5359408822018557</v>
          </cell>
          <cell r="K13">
            <v>5.7498860724671124</v>
          </cell>
          <cell r="L13">
            <v>5.4602630000818921</v>
          </cell>
          <cell r="M13">
            <v>5.4125185488710041</v>
          </cell>
          <cell r="N13">
            <v>5.1027868615739669</v>
          </cell>
          <cell r="O13">
            <v>4.7741634198164116</v>
          </cell>
          <cell r="P13">
            <v>4.8103224329563812</v>
          </cell>
          <cell r="Q13">
            <v>4.2892201861185351</v>
          </cell>
          <cell r="R13" t="str">
            <v>I</v>
          </cell>
          <cell r="S13" t="str">
            <v>I</v>
          </cell>
          <cell r="T13" t="str">
            <v>I</v>
          </cell>
          <cell r="U13" t="str">
            <v>V</v>
          </cell>
          <cell r="V13" t="str">
            <v>V</v>
          </cell>
          <cell r="W13" t="str">
            <v>V</v>
          </cell>
          <cell r="X13" t="str">
            <v>V</v>
          </cell>
          <cell r="Y13" t="str">
            <v>V</v>
          </cell>
          <cell r="Z13" t="str">
            <v>V</v>
          </cell>
          <cell r="AA13" t="str">
            <v>I</v>
          </cell>
          <cell r="AB13" t="str">
            <v>I</v>
          </cell>
          <cell r="AC13" t="str">
            <v>I</v>
          </cell>
        </row>
        <row r="14">
          <cell r="A14">
            <v>13</v>
          </cell>
          <cell r="B14">
            <v>1</v>
          </cell>
          <cell r="C14" t="str">
            <v>Disponible</v>
          </cell>
          <cell r="D14" t="str">
            <v>Disponible</v>
          </cell>
          <cell r="E14" t="str">
            <v>Disponible</v>
          </cell>
          <cell r="F14">
            <v>4.7446701236571558</v>
          </cell>
          <cell r="G14">
            <v>5.534620197982262</v>
          </cell>
          <cell r="H14">
            <v>6.1608150891507778</v>
          </cell>
          <cell r="I14">
            <v>6.4022944232633279</v>
          </cell>
          <cell r="J14">
            <v>6.5359408822018557</v>
          </cell>
          <cell r="K14">
            <v>5.7498860724671124</v>
          </cell>
          <cell r="L14">
            <v>5.4602630000818921</v>
          </cell>
          <cell r="M14">
            <v>5.4125185488710041</v>
          </cell>
          <cell r="N14">
            <v>5.1027868615739669</v>
          </cell>
          <cell r="O14">
            <v>4.7741634198164116</v>
          </cell>
          <cell r="P14">
            <v>4.8103224329563812</v>
          </cell>
          <cell r="Q14">
            <v>4.2892201861185351</v>
          </cell>
          <cell r="R14" t="str">
            <v>I</v>
          </cell>
          <cell r="S14" t="str">
            <v>I</v>
          </cell>
          <cell r="T14" t="str">
            <v>I</v>
          </cell>
          <cell r="U14" t="str">
            <v>V</v>
          </cell>
          <cell r="V14" t="str">
            <v>V</v>
          </cell>
          <cell r="W14" t="str">
            <v>V</v>
          </cell>
          <cell r="X14" t="str">
            <v>V</v>
          </cell>
          <cell r="Y14" t="str">
            <v>V</v>
          </cell>
          <cell r="Z14" t="str">
            <v>V</v>
          </cell>
          <cell r="AA14" t="str">
            <v>I</v>
          </cell>
          <cell r="AB14" t="str">
            <v>I</v>
          </cell>
          <cell r="AC14" t="str">
            <v>I</v>
          </cell>
        </row>
        <row r="15">
          <cell r="A15">
            <v>14</v>
          </cell>
          <cell r="B15">
            <v>1</v>
          </cell>
          <cell r="C15" t="str">
            <v>Disponible</v>
          </cell>
          <cell r="D15" t="str">
            <v>Disponible</v>
          </cell>
          <cell r="E15" t="str">
            <v>Disponible</v>
          </cell>
          <cell r="F15">
            <v>4.7446701236571558</v>
          </cell>
          <cell r="G15">
            <v>5.534620197982262</v>
          </cell>
          <cell r="H15">
            <v>6.1608150891507778</v>
          </cell>
          <cell r="I15">
            <v>6.4022944232633279</v>
          </cell>
          <cell r="J15">
            <v>6.5359408822018557</v>
          </cell>
          <cell r="K15">
            <v>5.7498860724671124</v>
          </cell>
          <cell r="L15">
            <v>5.4602630000818921</v>
          </cell>
          <cell r="M15">
            <v>5.4125185488710041</v>
          </cell>
          <cell r="N15">
            <v>5.1027868615739669</v>
          </cell>
          <cell r="O15">
            <v>4.7741634198164116</v>
          </cell>
          <cell r="P15">
            <v>4.8103224329563812</v>
          </cell>
          <cell r="Q15">
            <v>4.2892201861185351</v>
          </cell>
          <cell r="R15" t="str">
            <v>I</v>
          </cell>
          <cell r="S15" t="str">
            <v>I</v>
          </cell>
          <cell r="T15" t="str">
            <v>I</v>
          </cell>
          <cell r="U15" t="str">
            <v>V</v>
          </cell>
          <cell r="V15" t="str">
            <v>V</v>
          </cell>
          <cell r="W15" t="str">
            <v>V</v>
          </cell>
          <cell r="X15" t="str">
            <v>V</v>
          </cell>
          <cell r="Y15" t="str">
            <v>V</v>
          </cell>
          <cell r="Z15" t="str">
            <v>V</v>
          </cell>
          <cell r="AA15" t="str">
            <v>I</v>
          </cell>
          <cell r="AB15" t="str">
            <v>I</v>
          </cell>
          <cell r="AC15" t="str">
            <v>I</v>
          </cell>
        </row>
        <row r="16">
          <cell r="A16">
            <v>15</v>
          </cell>
          <cell r="B16">
            <v>1</v>
          </cell>
          <cell r="C16" t="str">
            <v>Disponible</v>
          </cell>
          <cell r="D16" t="str">
            <v>Disponible</v>
          </cell>
          <cell r="E16" t="str">
            <v>Disponible</v>
          </cell>
          <cell r="F16">
            <v>4.7446701236571558</v>
          </cell>
          <cell r="G16">
            <v>5.534620197982262</v>
          </cell>
          <cell r="H16">
            <v>6.1608150891507778</v>
          </cell>
          <cell r="I16">
            <v>6.4022944232633279</v>
          </cell>
          <cell r="J16">
            <v>6.5359408822018557</v>
          </cell>
          <cell r="K16">
            <v>5.7498860724671124</v>
          </cell>
          <cell r="L16">
            <v>5.4602630000818921</v>
          </cell>
          <cell r="M16">
            <v>5.4125185488710041</v>
          </cell>
          <cell r="N16">
            <v>5.1027868615739669</v>
          </cell>
          <cell r="O16">
            <v>4.7741634198164116</v>
          </cell>
          <cell r="P16">
            <v>4.8103224329563812</v>
          </cell>
          <cell r="Q16">
            <v>4.2892201861185351</v>
          </cell>
          <cell r="R16" t="str">
            <v>I</v>
          </cell>
          <cell r="S16" t="str">
            <v>I</v>
          </cell>
          <cell r="T16" t="str">
            <v>I</v>
          </cell>
          <cell r="U16" t="str">
            <v>V</v>
          </cell>
          <cell r="V16" t="str">
            <v>V</v>
          </cell>
          <cell r="W16" t="str">
            <v>V</v>
          </cell>
          <cell r="X16" t="str">
            <v>V</v>
          </cell>
          <cell r="Y16" t="str">
            <v>V</v>
          </cell>
          <cell r="Z16" t="str">
            <v>V</v>
          </cell>
          <cell r="AA16" t="str">
            <v>I</v>
          </cell>
          <cell r="AB16" t="str">
            <v>I</v>
          </cell>
          <cell r="AC16" t="str">
            <v>I</v>
          </cell>
        </row>
        <row r="17">
          <cell r="A17">
            <v>16</v>
          </cell>
          <cell r="B17">
            <v>1</v>
          </cell>
          <cell r="C17" t="str">
            <v>Disponible</v>
          </cell>
          <cell r="D17" t="str">
            <v>Disponible</v>
          </cell>
          <cell r="E17" t="str">
            <v>Disponible</v>
          </cell>
          <cell r="F17">
            <v>4.7446701236571558</v>
          </cell>
          <cell r="G17">
            <v>5.534620197982262</v>
          </cell>
          <cell r="H17">
            <v>6.1608150891507778</v>
          </cell>
          <cell r="I17">
            <v>6.4022944232633279</v>
          </cell>
          <cell r="J17">
            <v>6.5359408822018557</v>
          </cell>
          <cell r="K17">
            <v>5.7498860724671124</v>
          </cell>
          <cell r="L17">
            <v>5.4602630000818921</v>
          </cell>
          <cell r="M17">
            <v>5.4125185488710041</v>
          </cell>
          <cell r="N17">
            <v>5.1027868615739669</v>
          </cell>
          <cell r="O17">
            <v>4.7741634198164116</v>
          </cell>
          <cell r="P17">
            <v>4.8103224329563812</v>
          </cell>
          <cell r="Q17">
            <v>4.2892201861185351</v>
          </cell>
          <cell r="R17" t="str">
            <v>I</v>
          </cell>
          <cell r="S17" t="str">
            <v>I</v>
          </cell>
          <cell r="T17" t="str">
            <v>I</v>
          </cell>
          <cell r="U17" t="str">
            <v>V</v>
          </cell>
          <cell r="V17" t="str">
            <v>V</v>
          </cell>
          <cell r="W17" t="str">
            <v>V</v>
          </cell>
          <cell r="X17" t="str">
            <v>V</v>
          </cell>
          <cell r="Y17" t="str">
            <v>V</v>
          </cell>
          <cell r="Z17" t="str">
            <v>V</v>
          </cell>
          <cell r="AA17" t="str">
            <v>I</v>
          </cell>
          <cell r="AB17" t="str">
            <v>I</v>
          </cell>
          <cell r="AC17" t="str">
            <v>I</v>
          </cell>
        </row>
        <row r="18">
          <cell r="A18">
            <v>17</v>
          </cell>
          <cell r="B18">
            <v>1</v>
          </cell>
          <cell r="C18" t="str">
            <v>Disponible</v>
          </cell>
          <cell r="D18" t="str">
            <v>Disponible</v>
          </cell>
          <cell r="E18" t="str">
            <v>Disponible</v>
          </cell>
          <cell r="F18">
            <v>4.7446701236571558</v>
          </cell>
          <cell r="G18">
            <v>5.534620197982262</v>
          </cell>
          <cell r="H18">
            <v>6.1608150891507778</v>
          </cell>
          <cell r="I18">
            <v>6.4022944232633279</v>
          </cell>
          <cell r="J18">
            <v>6.5359408822018557</v>
          </cell>
          <cell r="K18">
            <v>5.7498860724671124</v>
          </cell>
          <cell r="L18">
            <v>5.4602630000818921</v>
          </cell>
          <cell r="M18">
            <v>5.4125185488710041</v>
          </cell>
          <cell r="N18">
            <v>5.1027868615739669</v>
          </cell>
          <cell r="O18">
            <v>4.7741634198164116</v>
          </cell>
          <cell r="P18">
            <v>4.8103224329563812</v>
          </cell>
          <cell r="Q18">
            <v>4.2892201861185351</v>
          </cell>
          <cell r="R18" t="str">
            <v>I</v>
          </cell>
          <cell r="S18" t="str">
            <v>I</v>
          </cell>
          <cell r="T18" t="str">
            <v>I</v>
          </cell>
          <cell r="U18" t="str">
            <v>V</v>
          </cell>
          <cell r="V18" t="str">
            <v>V</v>
          </cell>
          <cell r="W18" t="str">
            <v>V</v>
          </cell>
          <cell r="X18" t="str">
            <v>V</v>
          </cell>
          <cell r="Y18" t="str">
            <v>V</v>
          </cell>
          <cell r="Z18" t="str">
            <v>V</v>
          </cell>
          <cell r="AA18" t="str">
            <v>I</v>
          </cell>
          <cell r="AB18" t="str">
            <v>I</v>
          </cell>
          <cell r="AC18" t="str">
            <v>I</v>
          </cell>
        </row>
      </sheetData>
      <sheetData sheetId="6" refreshError="1">
        <row r="9">
          <cell r="B9">
            <v>-2824.5693968521709</v>
          </cell>
        </row>
      </sheetData>
      <sheetData sheetId="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maño del sistema"/>
      <sheetName val="Sistemas"/>
      <sheetName val="Historico de Tarifas"/>
      <sheetName val="Tablas para Tecno-economico "/>
      <sheetName val="TECNO ECONOMICO "/>
      <sheetName val="Hoja1"/>
    </sheetNames>
    <sheetDataSet>
      <sheetData sheetId="0" refreshError="1">
        <row r="6">
          <cell r="L6">
            <v>1500</v>
          </cell>
        </row>
        <row r="9">
          <cell r="Q9">
            <v>5.58</v>
          </cell>
        </row>
      </sheetData>
      <sheetData sheetId="1" refreshError="1"/>
      <sheetData sheetId="2" refreshError="1"/>
      <sheetData sheetId="3" refreshError="1"/>
      <sheetData sheetId="4" refreshError="1"/>
      <sheetData sheetId="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umen Propuesta Valle México"/>
      <sheetName val="1.5 kW CA r"/>
      <sheetName val="2 kW CA r"/>
      <sheetName val="3 kW CA r"/>
      <sheetName val="4 kW CA r"/>
      <sheetName val="5 kW CA r"/>
      <sheetName val="Precios Inversores"/>
      <sheetName val="Material Eléctrico"/>
    </sheetNames>
    <sheetDataSet>
      <sheetData sheetId="0"/>
      <sheetData sheetId="1"/>
      <sheetData sheetId="2">
        <row r="2">
          <cell r="F2">
            <v>9</v>
          </cell>
        </row>
        <row r="3">
          <cell r="F3">
            <v>255</v>
          </cell>
        </row>
      </sheetData>
      <sheetData sheetId="3"/>
      <sheetData sheetId="4"/>
      <sheetData sheetId="5"/>
      <sheetData sheetId="6"/>
      <sheetData sheetId="7"/>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cio-Costo Off-grid"/>
      <sheetName val="Precio-Costo On-grid"/>
      <sheetName val="Luminarias"/>
      <sheetName val="PES"/>
      <sheetName val="Plantas de Bombeo"/>
      <sheetName val="PES Refrigeración"/>
      <sheetName val="RED-accesorios inst. string "/>
      <sheetName val="ACC-SRED microinv"/>
      <sheetName val="CNX-ITX"/>
      <sheetName val="CNX-CSPM caja CA RED microinv"/>
      <sheetName val="RED-caja CD string "/>
      <sheetName val="RED-caja CA string"/>
      <sheetName val="CNX-XFMR"/>
      <sheetName val="Kits microinversor EP"/>
      <sheetName val="Soporte Tubular"/>
      <sheetName val="Bastidores off-grid"/>
      <sheetName val="Bastidores grid-tie"/>
      <sheetName val="Juego de Escuadras off-grid"/>
      <sheetName val="juego de cable para módulo PES"/>
      <sheetName val="Accesorios menores PES"/>
      <sheetName val="Identificadores Fabricantes"/>
      <sheetName val="Nomencaltura"/>
    </sheetNames>
    <sheetDataSet>
      <sheetData sheetId="0">
        <row r="1">
          <cell r="D1">
            <v>17.7</v>
          </cell>
        </row>
        <row r="3">
          <cell r="A3">
            <v>0</v>
          </cell>
          <cell r="B3">
            <v>0</v>
          </cell>
          <cell r="C3" t="str">
            <v>Módulos (01)</v>
          </cell>
          <cell r="H3" t="str">
            <v>USD/W</v>
          </cell>
          <cell r="I3">
            <v>0</v>
          </cell>
        </row>
        <row r="4">
          <cell r="C4" t="str">
            <v>Módulos para Sistemas Aislados (off-grid)</v>
          </cell>
          <cell r="I4">
            <v>0</v>
          </cell>
        </row>
        <row r="5">
          <cell r="A5" t="str">
            <v>EGE-260</v>
          </cell>
          <cell r="B5">
            <v>10310</v>
          </cell>
          <cell r="C5" t="str">
            <v>Módulo Eco Green Energy EGE-260, policristalino, 260 W. Certificaciónes IEC, CE, UL. Garantía de potencia 25 años al 80%.</v>
          </cell>
          <cell r="D5">
            <v>137.29040000000001</v>
          </cell>
          <cell r="E5">
            <v>0.54916160000000003</v>
          </cell>
          <cell r="F5">
            <v>0.11425548387096771</v>
          </cell>
          <cell r="G5">
            <v>155</v>
          </cell>
          <cell r="H5">
            <v>0.59615384615384615</v>
          </cell>
          <cell r="I5">
            <v>206.66666666666666</v>
          </cell>
          <cell r="J5" t="str">
            <v>pza</v>
          </cell>
        </row>
        <row r="6">
          <cell r="A6" t="str">
            <v>CNX-155</v>
          </cell>
          <cell r="B6">
            <v>10148</v>
          </cell>
          <cell r="C6" t="str">
            <v>Módulo Conermex CNX-155 multicristalino 155 W. Garantía de potencia 80% a 20 años.</v>
          </cell>
          <cell r="D6">
            <v>99.2</v>
          </cell>
          <cell r="E6">
            <v>0.66133333333333333</v>
          </cell>
          <cell r="F6">
            <v>0.12982456140350876</v>
          </cell>
          <cell r="G6">
            <v>114</v>
          </cell>
          <cell r="H6">
            <v>0.73548387096774193</v>
          </cell>
          <cell r="I6">
            <v>152</v>
          </cell>
          <cell r="J6" t="str">
            <v>pza</v>
          </cell>
        </row>
        <row r="7">
          <cell r="A7" t="str">
            <v>CNX-100</v>
          </cell>
          <cell r="B7">
            <v>10306</v>
          </cell>
          <cell r="C7" t="str">
            <v>Módulo Conermex multicristalino 100W. Garantía de potencia lineal de 80% a 25 años</v>
          </cell>
          <cell r="D7">
            <v>68</v>
          </cell>
          <cell r="E7">
            <v>0.68</v>
          </cell>
          <cell r="F7">
            <v>0.11688311688311688</v>
          </cell>
          <cell r="G7">
            <v>77</v>
          </cell>
          <cell r="H7">
            <v>0.77</v>
          </cell>
          <cell r="I7">
            <v>102.66666666666667</v>
          </cell>
          <cell r="J7" t="str">
            <v>pza</v>
          </cell>
        </row>
        <row r="8">
          <cell r="A8" t="str">
            <v>CNX-50</v>
          </cell>
          <cell r="B8">
            <v>10305</v>
          </cell>
          <cell r="C8" t="str">
            <v>Módulo  Conermex CNX50, multicristalino 50 W. Garantía de potencia 80% a 25  años.</v>
          </cell>
          <cell r="D8">
            <v>38</v>
          </cell>
          <cell r="E8">
            <v>0.58461538461538465</v>
          </cell>
          <cell r="F8">
            <v>0.11627906976744186</v>
          </cell>
          <cell r="G8">
            <v>43</v>
          </cell>
          <cell r="H8">
            <v>0.86</v>
          </cell>
          <cell r="I8">
            <v>57.333333333333336</v>
          </cell>
          <cell r="J8" t="str">
            <v>pza</v>
          </cell>
        </row>
        <row r="9">
          <cell r="A9">
            <v>0</v>
          </cell>
          <cell r="B9">
            <v>0</v>
          </cell>
          <cell r="C9" t="str">
            <v>Controladores (02)</v>
          </cell>
          <cell r="I9">
            <v>0</v>
          </cell>
        </row>
        <row r="10">
          <cell r="A10" t="str">
            <v>LS-1024</v>
          </cell>
          <cell r="B10">
            <v>20121</v>
          </cell>
          <cell r="C10" t="str">
            <v>Controlador EP Solar LS-1024, PWM   de 10A, 12/24 V, microprocesador, indicadores luminosos a LED, botón de encendido, programación de tipo de baterías: abierta, gel</v>
          </cell>
          <cell r="D10">
            <v>13.4643</v>
          </cell>
          <cell r="E10">
            <v>0</v>
          </cell>
          <cell r="F10">
            <v>0.25198333333333334</v>
          </cell>
          <cell r="G10">
            <v>18</v>
          </cell>
          <cell r="I10">
            <v>24</v>
          </cell>
          <cell r="J10" t="str">
            <v>pza</v>
          </cell>
        </row>
        <row r="11">
          <cell r="A11" t="str">
            <v>LS-2024</v>
          </cell>
          <cell r="B11">
            <v>20122</v>
          </cell>
          <cell r="C11" t="str">
            <v>Controlador EP Solar LS-2024, PWM   de 20A, 12/24 V, microprocesador, indicadores luminosos a LED, botón de encendido, programación de tipo de baterías: abierta, gel</v>
          </cell>
          <cell r="D11">
            <v>22.404300000000003</v>
          </cell>
          <cell r="E11">
            <v>0</v>
          </cell>
          <cell r="F11">
            <v>0.27728064516129025</v>
          </cell>
          <cell r="G11">
            <v>31</v>
          </cell>
          <cell r="I11">
            <v>41.333333333333336</v>
          </cell>
          <cell r="J11" t="str">
            <v>pza</v>
          </cell>
        </row>
        <row r="12">
          <cell r="A12" t="str">
            <v>LS-2024R</v>
          </cell>
          <cell r="B12">
            <v>20123</v>
          </cell>
          <cell r="C12" t="str">
            <v>Controlador EP Solar LS-2024R para luminarias solares, PWM , 20  A, 12/24 V, microprocesador, indicadores luminosos a LED, display digital de modo de programación, botón de encendido, programación de tipo de baterías: abierta, gel</v>
          </cell>
          <cell r="D12">
            <v>22.891999999999996</v>
          </cell>
          <cell r="E12">
            <v>0</v>
          </cell>
          <cell r="F12">
            <v>0.30630303030303041</v>
          </cell>
          <cell r="G12">
            <v>33</v>
          </cell>
          <cell r="I12">
            <v>44</v>
          </cell>
          <cell r="J12" t="str">
            <v>pza</v>
          </cell>
        </row>
        <row r="13">
          <cell r="A13" t="str">
            <v>LS-2024B</v>
          </cell>
          <cell r="B13">
            <v>20124</v>
          </cell>
          <cell r="C13" t="str">
            <v>Controlador EP Solar LS-2024B para aplicaciones profesionales, PWM, 20A, 12/24 V, microprocesador, indicadores luminosos a LED, comunicación ModBus RS485, botón de encendido, programación de tipo de baterías: abierta, gel. Se conecta con medidor-programador MT50.</v>
          </cell>
          <cell r="D13">
            <v>28.036800000000003</v>
          </cell>
          <cell r="E13">
            <v>0</v>
          </cell>
          <cell r="F13">
            <v>0.19894857142857134</v>
          </cell>
          <cell r="G13">
            <v>35</v>
          </cell>
          <cell r="I13">
            <v>46.666666666666664</v>
          </cell>
          <cell r="J13" t="str">
            <v>pza</v>
          </cell>
        </row>
        <row r="14">
          <cell r="A14" t="str">
            <v>MT-50</v>
          </cell>
          <cell r="B14">
            <v>20125</v>
          </cell>
          <cell r="C14" t="str">
            <v>Medidor-programador EPSolar MT50, a microprocesador, pantalla digital muestra con íconos el funcionamiento actual del sistema, permite reivsar el histórico de generación y programar la operación del control mediante menus extensivos accesible por botones. Conector RJ45</v>
          </cell>
          <cell r="D14">
            <v>20.672000000000001</v>
          </cell>
          <cell r="E14">
            <v>0</v>
          </cell>
          <cell r="F14">
            <v>0.17311999999999997</v>
          </cell>
          <cell r="G14">
            <v>25</v>
          </cell>
          <cell r="I14">
            <v>33.333333333333336</v>
          </cell>
          <cell r="J14" t="str">
            <v>pza</v>
          </cell>
        </row>
        <row r="15">
          <cell r="A15" t="str">
            <v>CML-10</v>
          </cell>
          <cell r="B15">
            <v>20111</v>
          </cell>
          <cell r="C15" t="str">
            <v>Controlador Phocos CML, PWM   de 10  A, 12/24 V, microprocesador, indicadores luminosos a LED</v>
          </cell>
          <cell r="D15">
            <v>26.686199999999996</v>
          </cell>
          <cell r="E15">
            <v>0</v>
          </cell>
          <cell r="F15">
            <v>0.23753714285714297</v>
          </cell>
          <cell r="G15">
            <v>35</v>
          </cell>
          <cell r="I15">
            <v>46.666666666666664</v>
          </cell>
          <cell r="J15" t="str">
            <v>pza</v>
          </cell>
        </row>
        <row r="16">
          <cell r="A16" t="str">
            <v>CML-20</v>
          </cell>
          <cell r="B16">
            <v>20112</v>
          </cell>
          <cell r="C16" t="str">
            <v>Controlador Phocos CML, PWM   de 20 A, 12/24 V, microprocesador, indicadores luminosos a LED</v>
          </cell>
          <cell r="D16">
            <v>40.1982</v>
          </cell>
          <cell r="E16">
            <v>0</v>
          </cell>
          <cell r="F16">
            <v>0.2269576923076923</v>
          </cell>
          <cell r="G16">
            <v>52</v>
          </cell>
          <cell r="I16">
            <v>69.333333333333329</v>
          </cell>
          <cell r="J16" t="str">
            <v>pza</v>
          </cell>
        </row>
        <row r="17">
          <cell r="A17" t="str">
            <v>CX-10</v>
          </cell>
          <cell r="B17">
            <v>20113</v>
          </cell>
          <cell r="C17" t="str">
            <v>Controlador Phocos CX, PWM   de 10 A, 12/24 V, microprocesador, programable, temporizador integrado, indicador a pantalla de cristal líquido LCD, con interfase para PC</v>
          </cell>
          <cell r="D17">
            <v>31.462209999999999</v>
          </cell>
          <cell r="E17">
            <v>0</v>
          </cell>
          <cell r="F17">
            <v>0.21344475000000002</v>
          </cell>
          <cell r="G17">
            <v>40</v>
          </cell>
          <cell r="I17">
            <v>53.333333333333336</v>
          </cell>
          <cell r="J17" t="str">
            <v>pza</v>
          </cell>
        </row>
        <row r="18">
          <cell r="A18" t="str">
            <v>CX-20</v>
          </cell>
          <cell r="B18">
            <v>20114</v>
          </cell>
          <cell r="C18" t="str">
            <v>Controlador Phocos CX, PWM   de 20 A, 12/24 V, microprocesador, programable, temporizador integrado, indicador a pantalla de cristal líquido LCD, con interfase para PC</v>
          </cell>
          <cell r="D18">
            <v>44.95093</v>
          </cell>
          <cell r="E18">
            <v>0</v>
          </cell>
          <cell r="F18">
            <v>0.2249839655172414</v>
          </cell>
          <cell r="G18">
            <v>58</v>
          </cell>
          <cell r="I18">
            <v>77.333333333333329</v>
          </cell>
          <cell r="J18" t="str">
            <v>pza</v>
          </cell>
        </row>
        <row r="19">
          <cell r="A19" t="str">
            <v>CX-40</v>
          </cell>
          <cell r="B19">
            <v>20115</v>
          </cell>
          <cell r="C19" t="str">
            <v>Controlador Phocos CX, PWM   de 40 A, 12/24 V, microprocesador, programable, temporizador integrado, indicador a pantalla de cristal líquido LCD, con interfase para PC</v>
          </cell>
          <cell r="D19">
            <v>70.8018</v>
          </cell>
          <cell r="E19">
            <v>0</v>
          </cell>
          <cell r="F19">
            <v>0.21331333333333333</v>
          </cell>
          <cell r="G19">
            <v>90</v>
          </cell>
          <cell r="I19">
            <v>120</v>
          </cell>
          <cell r="J19" t="str">
            <v>pza</v>
          </cell>
        </row>
        <row r="20">
          <cell r="A20" t="str">
            <v>CIS-10</v>
          </cell>
          <cell r="B20">
            <v>20119</v>
          </cell>
          <cell r="C20" t="str">
            <v>Controlador Phocos CIS-10 PWM de 10 A, 12/24 V, para aplicación en Luminarias Solares, a microprocesador, programación mediante control remoto infrarrojo, con tiempo corrido de operación seleccionable.</v>
          </cell>
          <cell r="D20">
            <v>33.80209</v>
          </cell>
          <cell r="E20">
            <v>0</v>
          </cell>
          <cell r="F20">
            <v>0.21390488372093025</v>
          </cell>
          <cell r="G20">
            <v>43</v>
          </cell>
          <cell r="I20">
            <v>57.333333333333336</v>
          </cell>
          <cell r="J20" t="str">
            <v>pza</v>
          </cell>
        </row>
        <row r="21">
          <cell r="A21" t="str">
            <v>CIS-20</v>
          </cell>
          <cell r="B21">
            <v>20120</v>
          </cell>
          <cell r="C21" t="str">
            <v>Controlador Phocos CIS-20 PWM de 20 A, 12/24 V, para aplicación en Luminarias Solares, a microprocesador, programación mediante control remoto infrarrojo, con tiempo de operación corrido, ajustable.</v>
          </cell>
          <cell r="D21">
            <v>48.747500000000002</v>
          </cell>
          <cell r="E21">
            <v>0</v>
          </cell>
          <cell r="F21">
            <v>0.2262301587301587</v>
          </cell>
          <cell r="G21">
            <v>63</v>
          </cell>
          <cell r="I21">
            <v>84</v>
          </cell>
          <cell r="J21" t="str">
            <v>pza</v>
          </cell>
        </row>
        <row r="22">
          <cell r="A22" t="str">
            <v>CIS-CU</v>
          </cell>
          <cell r="B22">
            <v>20407</v>
          </cell>
          <cell r="C22" t="str">
            <v xml:space="preserve">Programador remoto infrarrojo para controladores CIS </v>
          </cell>
          <cell r="D22">
            <v>38.104430000000001</v>
          </cell>
          <cell r="E22">
            <v>0</v>
          </cell>
          <cell r="F22">
            <v>0.2810484905660377</v>
          </cell>
          <cell r="G22">
            <v>53</v>
          </cell>
          <cell r="I22">
            <v>70.666666666666671</v>
          </cell>
          <cell r="J22" t="str">
            <v>pza</v>
          </cell>
        </row>
        <row r="23">
          <cell r="A23" t="str">
            <v>SCC-COM</v>
          </cell>
          <cell r="B23">
            <v>20404</v>
          </cell>
          <cell r="C23" t="str">
            <v>Interfase USB para programar/monitorear Controlador Phocos CX con PC-laptop</v>
          </cell>
          <cell r="D23">
            <v>43.127999999999993</v>
          </cell>
          <cell r="E23">
            <v>0</v>
          </cell>
          <cell r="F23">
            <v>0.18626415094339635</v>
          </cell>
          <cell r="G23">
            <v>53</v>
          </cell>
          <cell r="I23">
            <v>70.666666666666671</v>
          </cell>
          <cell r="J23" t="str">
            <v>pza</v>
          </cell>
        </row>
        <row r="24">
          <cell r="A24" t="str">
            <v>4215BN</v>
          </cell>
          <cell r="B24">
            <v>20209</v>
          </cell>
          <cell r="C24" t="str">
            <v xml:space="preserve">Controlador MPPT EP Solar 4215BN con seguidor de máxima potencia, capacidad de 40 A a bancos de baterías de 12/24V para arreglos solares hasta 100 V, </v>
          </cell>
          <cell r="D24">
            <v>157.69</v>
          </cell>
          <cell r="E24">
            <v>0</v>
          </cell>
          <cell r="F24">
            <v>0.17005263157894737</v>
          </cell>
          <cell r="G24">
            <v>190</v>
          </cell>
          <cell r="I24">
            <v>253.33333333333334</v>
          </cell>
          <cell r="J24" t="str">
            <v>pza</v>
          </cell>
        </row>
        <row r="25">
          <cell r="A25" t="str">
            <v>FM60</v>
          </cell>
          <cell r="B25">
            <v>20201</v>
          </cell>
          <cell r="C25" t="str">
            <v>Controlador MPPT Outback FX60, 150V-12/24/48 V, seguidor de máxima potencia, 60A</v>
          </cell>
          <cell r="D25">
            <v>434.69579999999996</v>
          </cell>
          <cell r="E25">
            <v>0</v>
          </cell>
          <cell r="F25">
            <v>0.15098476562500007</v>
          </cell>
          <cell r="G25">
            <v>512</v>
          </cell>
          <cell r="I25">
            <v>682.66666666666663</v>
          </cell>
          <cell r="J25" t="str">
            <v>pza</v>
          </cell>
        </row>
        <row r="26">
          <cell r="A26" t="str">
            <v>FM80</v>
          </cell>
          <cell r="B26">
            <v>20202</v>
          </cell>
          <cell r="C26" t="str">
            <v>Controlador MPPT Outback FX80, 150V-12/24/48 V, seguidor de máxima potencia, 80A</v>
          </cell>
          <cell r="D26">
            <v>498.71579999999994</v>
          </cell>
          <cell r="E26">
            <v>0</v>
          </cell>
          <cell r="F26">
            <v>0.15039897785349243</v>
          </cell>
          <cell r="G26">
            <v>587</v>
          </cell>
          <cell r="I26">
            <v>782.66666666666663</v>
          </cell>
          <cell r="J26" t="str">
            <v>pza</v>
          </cell>
        </row>
        <row r="27">
          <cell r="A27">
            <v>0</v>
          </cell>
          <cell r="B27">
            <v>0</v>
          </cell>
          <cell r="C27" t="str">
            <v>Baterías (03)</v>
          </cell>
          <cell r="D27">
            <v>0</v>
          </cell>
          <cell r="E27">
            <v>0</v>
          </cell>
          <cell r="I27">
            <v>0</v>
          </cell>
        </row>
        <row r="28">
          <cell r="A28" t="str">
            <v>31H</v>
          </cell>
          <cell r="B28">
            <v>30201</v>
          </cell>
          <cell r="C28" t="str">
            <v xml:space="preserve">Batería Coner 31H, 12 V, 115 Ah @ 100 hr, libre de mantenimiento. Vida útil: 3 a 4 años. </v>
          </cell>
          <cell r="D28">
            <v>74.406779661016955</v>
          </cell>
          <cell r="E28">
            <v>0</v>
          </cell>
          <cell r="F28">
            <v>0.13480488766259355</v>
          </cell>
          <cell r="G28">
            <v>86</v>
          </cell>
          <cell r="I28">
            <v>114.66666666666667</v>
          </cell>
          <cell r="J28" t="str">
            <v>pza</v>
          </cell>
        </row>
        <row r="29">
          <cell r="A29" t="str">
            <v>S-480</v>
          </cell>
          <cell r="B29">
            <v>30109</v>
          </cell>
          <cell r="C29" t="str">
            <v>Batería Surrette S-460, Abierta, Ciclo Profundo, 6 V, 460 Ah @ 100 hr. Vida útil: 7 años</v>
          </cell>
          <cell r="D29">
            <v>217.98400000000001</v>
          </cell>
          <cell r="E29">
            <v>0</v>
          </cell>
          <cell r="F29">
            <v>0.18051127819548868</v>
          </cell>
          <cell r="G29">
            <v>266</v>
          </cell>
          <cell r="I29">
            <v>354.66666666666669</v>
          </cell>
          <cell r="J29" t="str">
            <v>pza</v>
          </cell>
        </row>
        <row r="30">
          <cell r="A30" t="str">
            <v>S-550</v>
          </cell>
          <cell r="B30">
            <v>30108</v>
          </cell>
          <cell r="C30" t="str">
            <v>Batería Surrette S-550, Abierta, Ciclo Profundo, 6 V, 550 Ah @ 100 hr. Vida útil: 7 años</v>
          </cell>
          <cell r="D30">
            <v>240.68368000000001</v>
          </cell>
          <cell r="E30">
            <v>0</v>
          </cell>
          <cell r="F30">
            <v>0.18134802721088433</v>
          </cell>
          <cell r="G30">
            <v>294</v>
          </cell>
          <cell r="I30">
            <v>392</v>
          </cell>
          <cell r="J30" t="str">
            <v>pza</v>
          </cell>
        </row>
        <row r="31">
          <cell r="A31" t="str">
            <v>106-RE</v>
          </cell>
          <cell r="B31">
            <v>30210</v>
          </cell>
          <cell r="C31" t="str">
            <v>Batería Energycell 12 V, 106 Ah @ 100 hr electrolito inmovilizado AGM, sellada, libre de mantenimiento. Vida útil: 7 años en ciclos diarios del 20% de descarga.</v>
          </cell>
          <cell r="D31">
            <v>142.95600000000002</v>
          </cell>
          <cell r="E31">
            <v>0</v>
          </cell>
          <cell r="F31">
            <v>0.21881967213114745</v>
          </cell>
          <cell r="G31">
            <v>183</v>
          </cell>
          <cell r="I31">
            <v>244</v>
          </cell>
          <cell r="J31" t="str">
            <v>pza</v>
          </cell>
        </row>
        <row r="32">
          <cell r="A32">
            <v>0</v>
          </cell>
          <cell r="B32">
            <v>0</v>
          </cell>
          <cell r="C32" t="str">
            <v>Inversores (04)</v>
          </cell>
          <cell r="D32">
            <v>363.65</v>
          </cell>
          <cell r="G32">
            <v>369.15760869565224</v>
          </cell>
          <cell r="I32">
            <v>0</v>
          </cell>
        </row>
        <row r="33">
          <cell r="B33">
            <v>0</v>
          </cell>
          <cell r="C33" t="str">
            <v>Inversores a baterías, onda senoidal modificada</v>
          </cell>
          <cell r="H33">
            <v>0</v>
          </cell>
          <cell r="I33">
            <v>0</v>
          </cell>
        </row>
        <row r="34">
          <cell r="A34" t="str">
            <v>SAM-450</v>
          </cell>
          <cell r="B34">
            <v>40121</v>
          </cell>
          <cell r="C34" t="str">
            <v>Inversor Samlex 12/120-450 de 450 W, onda senoidal modificada.</v>
          </cell>
          <cell r="D34">
            <v>27.918599999999998</v>
          </cell>
          <cell r="E34">
            <v>0</v>
          </cell>
          <cell r="F34">
            <v>0.24544324324324329</v>
          </cell>
          <cell r="G34">
            <v>37</v>
          </cell>
          <cell r="I34">
            <v>49.333333333333336</v>
          </cell>
          <cell r="J34" t="str">
            <v>pza</v>
          </cell>
        </row>
        <row r="35">
          <cell r="A35" t="str">
            <v>SAM-800</v>
          </cell>
          <cell r="B35">
            <v>40122</v>
          </cell>
          <cell r="C35" t="str">
            <v>Inversor Samlex SAM 800 de 800 W, 12 VCD a 120 VCA, onda senoidal modificada,</v>
          </cell>
          <cell r="D35">
            <v>48.769199999999998</v>
          </cell>
          <cell r="E35">
            <v>0</v>
          </cell>
          <cell r="F35">
            <v>0.24970461538461541</v>
          </cell>
          <cell r="G35">
            <v>65</v>
          </cell>
          <cell r="I35">
            <v>86.666666666666671</v>
          </cell>
          <cell r="J35" t="str">
            <v>pza</v>
          </cell>
        </row>
        <row r="36">
          <cell r="A36" t="str">
            <v>SAM-1000</v>
          </cell>
          <cell r="B36">
            <v>40132</v>
          </cell>
          <cell r="C36" t="str">
            <v>Inversor Samlex de 1000 W, onda senoidal modificada,12VCD-120VAC, certificado UL</v>
          </cell>
          <cell r="D36">
            <v>80.631600000000006</v>
          </cell>
          <cell r="E36">
            <v>0</v>
          </cell>
          <cell r="F36">
            <v>0.24643364485981303</v>
          </cell>
          <cell r="G36">
            <v>107</v>
          </cell>
          <cell r="I36">
            <v>142.66666666666666</v>
          </cell>
          <cell r="J36" t="str">
            <v>pza</v>
          </cell>
        </row>
        <row r="37">
          <cell r="A37" t="str">
            <v>SAM-1500</v>
          </cell>
          <cell r="B37">
            <v>40120</v>
          </cell>
          <cell r="C37" t="str">
            <v>Inversor Samlex SAM-1500 de 1500 W, onda senoidal modificada,12VCD-120VAC, certificado UL</v>
          </cell>
          <cell r="D37">
            <v>141.59559999999999</v>
          </cell>
          <cell r="E37">
            <v>0</v>
          </cell>
          <cell r="F37">
            <v>0.25081693121693127</v>
          </cell>
          <cell r="G37">
            <v>189</v>
          </cell>
          <cell r="I37">
            <v>252</v>
          </cell>
          <cell r="J37" t="str">
            <v>pza</v>
          </cell>
        </row>
        <row r="38">
          <cell r="A38" t="str">
            <v>SAM-3000</v>
          </cell>
          <cell r="B38">
            <v>40133</v>
          </cell>
          <cell r="C38" t="str">
            <v>Inversor Samlex SAM-3000 de 3000 W, onda senoidal modificada, 12VCD-120VAC</v>
          </cell>
          <cell r="D38">
            <v>297.44499999999999</v>
          </cell>
          <cell r="E38">
            <v>0</v>
          </cell>
          <cell r="F38">
            <v>0.25265075376884422</v>
          </cell>
          <cell r="G38">
            <v>398</v>
          </cell>
          <cell r="I38">
            <v>530.66666666666663</v>
          </cell>
          <cell r="J38" t="str">
            <v>pza</v>
          </cell>
        </row>
        <row r="39">
          <cell r="B39">
            <v>0</v>
          </cell>
          <cell r="C39" t="str">
            <v>Inversores a baterías, onda senoidal pura</v>
          </cell>
          <cell r="H39">
            <v>0</v>
          </cell>
          <cell r="I39">
            <v>0</v>
          </cell>
        </row>
        <row r="40">
          <cell r="A40" t="str">
            <v>PST-300</v>
          </cell>
          <cell r="B40">
            <v>40104</v>
          </cell>
          <cell r="C40" t="str">
            <v>Inversor Samlex 300W, 12 VCD a 120 VCA, onda senoidal pura</v>
          </cell>
          <cell r="D40">
            <v>117.19999999999999</v>
          </cell>
          <cell r="E40">
            <v>0</v>
          </cell>
          <cell r="F40">
            <v>0.16285714285714295</v>
          </cell>
          <cell r="G40">
            <v>140</v>
          </cell>
          <cell r="I40">
            <v>186.66666666666666</v>
          </cell>
          <cell r="J40" t="str">
            <v>pza</v>
          </cell>
        </row>
        <row r="41">
          <cell r="A41" t="str">
            <v>PST-1500</v>
          </cell>
          <cell r="B41">
            <v>41205</v>
          </cell>
          <cell r="C41" t="str">
            <v>Inversor Samlex 1500W, 12 VCD a 120 VCA, onda senoidal pura</v>
          </cell>
          <cell r="D41">
            <v>477.58119999999997</v>
          </cell>
          <cell r="E41">
            <v>0</v>
          </cell>
          <cell r="F41">
            <v>3.7134677419354903E-2</v>
          </cell>
          <cell r="G41">
            <v>496</v>
          </cell>
          <cell r="I41">
            <v>661.33333333333337</v>
          </cell>
          <cell r="J41" t="str">
            <v>pza</v>
          </cell>
        </row>
        <row r="42">
          <cell r="C42">
            <v>0</v>
          </cell>
          <cell r="D42">
            <v>0</v>
          </cell>
          <cell r="E42">
            <v>0</v>
          </cell>
          <cell r="I42">
            <v>0</v>
          </cell>
        </row>
        <row r="43">
          <cell r="B43">
            <v>0</v>
          </cell>
          <cell r="C43" t="str">
            <v>Inversores- cargador de baterías, onda senoidal modificada</v>
          </cell>
          <cell r="H43">
            <v>0</v>
          </cell>
          <cell r="I43">
            <v>0</v>
          </cell>
        </row>
        <row r="44">
          <cell r="A44" t="str">
            <v>SAM- 1500C</v>
          </cell>
          <cell r="B44">
            <v>40106</v>
          </cell>
          <cell r="C44" t="str">
            <v>Inversor-cargador Samlex, línea EVO, 1500W, 12 VCD a 120 VCA, onda senoidal modificada</v>
          </cell>
          <cell r="D44">
            <v>225.45480000000001</v>
          </cell>
          <cell r="E44">
            <v>0</v>
          </cell>
          <cell r="F44">
            <v>0.24344026845637581</v>
          </cell>
          <cell r="G44">
            <v>298</v>
          </cell>
          <cell r="I44">
            <v>397.33333333333331</v>
          </cell>
          <cell r="J44" t="str">
            <v>pza</v>
          </cell>
        </row>
        <row r="45">
          <cell r="B45">
            <v>0</v>
          </cell>
          <cell r="C45" t="str">
            <v>Inversores-cargadores de baterías, onda senoidal pura</v>
          </cell>
          <cell r="H45">
            <v>0</v>
          </cell>
          <cell r="I45">
            <v>0</v>
          </cell>
        </row>
        <row r="46">
          <cell r="A46" t="str">
            <v>EVO-2212</v>
          </cell>
          <cell r="B46">
            <v>40107</v>
          </cell>
          <cell r="C46" t="str">
            <v>Inversor Cargador Samlex, onda senoidal pura 2.2 kW, 12VCD a 120 VCA, aplicación fuera de la red</v>
          </cell>
          <cell r="D46">
            <v>881.84760000000006</v>
          </cell>
          <cell r="E46">
            <v>0</v>
          </cell>
          <cell r="F46">
            <v>0.17967665116279063</v>
          </cell>
          <cell r="G46">
            <v>1075</v>
          </cell>
          <cell r="I46">
            <v>1433.3333333333333</v>
          </cell>
          <cell r="J46" t="str">
            <v>pza</v>
          </cell>
        </row>
        <row r="47">
          <cell r="A47" t="str">
            <v>EVO-2224</v>
          </cell>
          <cell r="B47">
            <v>40108</v>
          </cell>
          <cell r="C47" t="str">
            <v>Inversor Cargador Samlex, onda senoidal pura 2.2 kW, 24VCD a 120 VCA, aplicación fuera de la red</v>
          </cell>
          <cell r="D47">
            <v>881.84760000000006</v>
          </cell>
          <cell r="E47">
            <v>0</v>
          </cell>
          <cell r="F47">
            <v>0.17967665116279063</v>
          </cell>
          <cell r="G47">
            <v>1075</v>
          </cell>
          <cell r="I47">
            <v>1433.3333333333333</v>
          </cell>
          <cell r="J47" t="str">
            <v>pza</v>
          </cell>
        </row>
        <row r="48">
          <cell r="A48" t="str">
            <v>EVO-RC</v>
          </cell>
          <cell r="B48">
            <v>40109</v>
          </cell>
          <cell r="C48" t="str">
            <v>Medidor-programador digital remoto para inversores EVO</v>
          </cell>
          <cell r="D48">
            <v>87.042000000000002</v>
          </cell>
          <cell r="E48">
            <v>0</v>
          </cell>
          <cell r="F48">
            <v>0.24963793103448276</v>
          </cell>
          <cell r="G48">
            <v>116</v>
          </cell>
          <cell r="I48">
            <v>154.66666666666666</v>
          </cell>
          <cell r="J48" t="str">
            <v>pza</v>
          </cell>
        </row>
        <row r="49">
          <cell r="A49" t="str">
            <v>GVFX3524LA</v>
          </cell>
          <cell r="B49">
            <v>41211</v>
          </cell>
          <cell r="C49" t="str">
            <v>Inversor Cargador Outback interactivo con la red, onda senoidal 3.5 kW, 24 VCD, 127 VCA. Configuración para México</v>
          </cell>
          <cell r="D49">
            <v>1300.1587500000001</v>
          </cell>
          <cell r="E49">
            <v>0</v>
          </cell>
          <cell r="F49">
            <v>0.18229009433962259</v>
          </cell>
          <cell r="G49">
            <v>1590</v>
          </cell>
          <cell r="I49">
            <v>2120</v>
          </cell>
          <cell r="J49" t="str">
            <v>pza</v>
          </cell>
        </row>
        <row r="50">
          <cell r="A50" t="str">
            <v>GVFX3648LA</v>
          </cell>
          <cell r="B50">
            <v>41210</v>
          </cell>
          <cell r="C50" t="str">
            <v>Inversor Cargador Outback interactivo con la red, onda senoidal 3.6 kW, 48 VCD, 127 VCA. Configuración para México</v>
          </cell>
          <cell r="D50">
            <v>1330.3950000000002</v>
          </cell>
          <cell r="E50">
            <v>0</v>
          </cell>
          <cell r="F50">
            <v>0.16327358490566024</v>
          </cell>
          <cell r="G50">
            <v>1590</v>
          </cell>
          <cell r="I50">
            <v>2120</v>
          </cell>
          <cell r="J50" t="str">
            <v>pza</v>
          </cell>
        </row>
        <row r="51">
          <cell r="B51">
            <v>0</v>
          </cell>
          <cell r="C51" t="str">
            <v>Accesorios para inversores</v>
          </cell>
          <cell r="H51">
            <v>0</v>
          </cell>
          <cell r="I51">
            <v>0</v>
          </cell>
        </row>
        <row r="52">
          <cell r="A52" t="str">
            <v>MATE-2</v>
          </cell>
          <cell r="B52">
            <v>43005</v>
          </cell>
          <cell r="C52" t="str">
            <v>Monitor y Control Remoto Outback</v>
          </cell>
          <cell r="D52">
            <v>174.41874999999999</v>
          </cell>
          <cell r="E52">
            <v>0</v>
          </cell>
          <cell r="F52">
            <v>0.18113262910798128</v>
          </cell>
          <cell r="G52">
            <v>213</v>
          </cell>
          <cell r="I52">
            <v>284</v>
          </cell>
          <cell r="J52" t="str">
            <v>pza</v>
          </cell>
        </row>
        <row r="53">
          <cell r="A53" t="str">
            <v>MATE-3</v>
          </cell>
          <cell r="B53">
            <v>43006</v>
          </cell>
          <cell r="C53" t="str">
            <v>Monitor y Control Remoto Outback, permite interconexión a red</v>
          </cell>
          <cell r="D53">
            <v>351.79374999999999</v>
          </cell>
          <cell r="E53">
            <v>0</v>
          </cell>
          <cell r="F53">
            <v>0.18377320185614851</v>
          </cell>
          <cell r="G53">
            <v>431</v>
          </cell>
          <cell r="I53">
            <v>574.66666666666663</v>
          </cell>
          <cell r="J53" t="str">
            <v>pza</v>
          </cell>
        </row>
        <row r="54">
          <cell r="A54" t="str">
            <v>HUB-4</v>
          </cell>
          <cell r="B54">
            <v>43007</v>
          </cell>
          <cell r="C54" t="str">
            <v>Hub-4 Outback, centro de gestión y comunicación de inversores y controles Outback para 4 componentes</v>
          </cell>
          <cell r="D54">
            <v>115.29374999999999</v>
          </cell>
          <cell r="E54">
            <v>0</v>
          </cell>
          <cell r="F54">
            <v>0.18231382978723412</v>
          </cell>
          <cell r="G54">
            <v>141</v>
          </cell>
          <cell r="I54">
            <v>188</v>
          </cell>
          <cell r="J54" t="str">
            <v>pza</v>
          </cell>
        </row>
        <row r="55">
          <cell r="A55" t="str">
            <v>HUB-10</v>
          </cell>
          <cell r="B55">
            <v>43004</v>
          </cell>
          <cell r="C55" t="str">
            <v>Hub-10 Outback, centro de comnicaciones de inversores y controles Outback para 10 componentes</v>
          </cell>
          <cell r="D55">
            <v>226.26920000000001</v>
          </cell>
          <cell r="E55">
            <v>0</v>
          </cell>
          <cell r="F55">
            <v>0.16196592592592587</v>
          </cell>
          <cell r="G55">
            <v>270</v>
          </cell>
          <cell r="I55">
            <v>360</v>
          </cell>
          <cell r="J55" t="str">
            <v>pza</v>
          </cell>
        </row>
        <row r="56">
          <cell r="A56" t="str">
            <v>RTS</v>
          </cell>
          <cell r="C56" t="str">
            <v>Sensor de temperatura Outback</v>
          </cell>
          <cell r="D56">
            <v>17.864000000000001</v>
          </cell>
          <cell r="E56">
            <v>0</v>
          </cell>
          <cell r="F56">
            <v>0.16911627906976739</v>
          </cell>
          <cell r="G56">
            <v>21.5</v>
          </cell>
          <cell r="I56">
            <v>28.666666666666668</v>
          </cell>
          <cell r="J56" t="str">
            <v>pza</v>
          </cell>
        </row>
        <row r="57">
          <cell r="A57" t="str">
            <v>EVO-RC</v>
          </cell>
          <cell r="B57">
            <v>40109</v>
          </cell>
          <cell r="C57" t="str">
            <v>Medidor-programador digital remoto para inversores EVO</v>
          </cell>
          <cell r="D57">
            <v>87.042000000000002</v>
          </cell>
          <cell r="E57">
            <v>0</v>
          </cell>
          <cell r="F57">
            <v>0.24963793103448276</v>
          </cell>
          <cell r="G57">
            <v>116</v>
          </cell>
          <cell r="I57">
            <v>154.66666666666666</v>
          </cell>
          <cell r="J57" t="str">
            <v>pza</v>
          </cell>
        </row>
        <row r="58">
          <cell r="A58">
            <v>0</v>
          </cell>
          <cell r="B58">
            <v>0</v>
          </cell>
          <cell r="C58" t="str">
            <v>Lámparas (05)</v>
          </cell>
          <cell r="D58">
            <v>0</v>
          </cell>
          <cell r="E58">
            <v>0</v>
          </cell>
          <cell r="I58">
            <v>0</v>
          </cell>
        </row>
        <row r="59">
          <cell r="A59">
            <v>0</v>
          </cell>
          <cell r="B59">
            <v>0</v>
          </cell>
          <cell r="C59" t="str">
            <v>Lamparas fluorescentes 12 VCD</v>
          </cell>
          <cell r="D59">
            <v>0</v>
          </cell>
          <cell r="E59">
            <v>0</v>
          </cell>
          <cell r="I59">
            <v>0</v>
          </cell>
        </row>
        <row r="60">
          <cell r="A60" t="str">
            <v>TF11</v>
          </cell>
          <cell r="B60">
            <v>50102</v>
          </cell>
          <cell r="C60" t="str">
            <v>Lámpara Fluorescente compacta Conermex, 11 W, 12 V (Tubo integrado)</v>
          </cell>
          <cell r="D60">
            <v>2.9530799999999999</v>
          </cell>
          <cell r="E60">
            <v>0</v>
          </cell>
          <cell r="F60">
            <v>0.26173000000000002</v>
          </cell>
          <cell r="G60">
            <v>4</v>
          </cell>
          <cell r="I60">
            <v>5.333333333333333</v>
          </cell>
          <cell r="J60" t="str">
            <v>pza</v>
          </cell>
        </row>
        <row r="61">
          <cell r="A61" t="str">
            <v>TF15</v>
          </cell>
          <cell r="B61">
            <v>50103</v>
          </cell>
          <cell r="C61" t="str">
            <v>Lámpara Fluorescente compacta Conermex, 15 W, 12 V (Tubo integrado)</v>
          </cell>
          <cell r="D61">
            <v>2.7742500000000003</v>
          </cell>
          <cell r="E61">
            <v>0</v>
          </cell>
          <cell r="F61">
            <v>0.36948863636363632</v>
          </cell>
          <cell r="G61">
            <v>4.4000000000000004</v>
          </cell>
          <cell r="I61">
            <v>5.8666666666666671</v>
          </cell>
          <cell r="J61" t="str">
            <v>pza</v>
          </cell>
        </row>
        <row r="62">
          <cell r="A62">
            <v>0</v>
          </cell>
          <cell r="B62">
            <v>0</v>
          </cell>
          <cell r="C62" t="str">
            <v>Luminario de LED's para iluminación exterior</v>
          </cell>
          <cell r="D62">
            <v>0</v>
          </cell>
          <cell r="E62">
            <v>0</v>
          </cell>
          <cell r="F62">
            <v>0</v>
          </cell>
          <cell r="G62">
            <v>0</v>
          </cell>
          <cell r="H62">
            <v>0</v>
          </cell>
          <cell r="I62">
            <v>0</v>
          </cell>
          <cell r="J62">
            <v>0</v>
          </cell>
        </row>
        <row r="63">
          <cell r="A63" t="str">
            <v>SPL-M30W</v>
          </cell>
          <cell r="B63">
            <v>50410</v>
          </cell>
          <cell r="C63" t="str">
            <v>Lámpara de LED's de 30W para luminarias solares en iluminación exterior, 12VCD, 2.5A, súper eficiente</v>
          </cell>
          <cell r="D63">
            <v>205.13480000000001</v>
          </cell>
          <cell r="E63">
            <v>0</v>
          </cell>
          <cell r="F63">
            <v>0.19869218749999995</v>
          </cell>
          <cell r="G63">
            <v>256</v>
          </cell>
          <cell r="H63">
            <v>0</v>
          </cell>
          <cell r="I63">
            <v>341.33333333333331</v>
          </cell>
          <cell r="J63" t="str">
            <v>pza</v>
          </cell>
        </row>
        <row r="64">
          <cell r="A64" t="str">
            <v>SPL48</v>
          </cell>
          <cell r="B64">
            <v>50402</v>
          </cell>
          <cell r="C64" t="str">
            <v>Lámpara de LED's de 55W para luminarias solares en iluminación exterior, 4,600 lúmenes, 24VCD, 2.3A, súper eficiente</v>
          </cell>
          <cell r="D64">
            <v>287.25</v>
          </cell>
          <cell r="E64">
            <v>0</v>
          </cell>
          <cell r="F64">
            <v>0.17456896551724138</v>
          </cell>
          <cell r="G64">
            <v>348</v>
          </cell>
          <cell r="H64">
            <v>0</v>
          </cell>
          <cell r="I64">
            <v>464</v>
          </cell>
          <cell r="J64" t="str">
            <v>pza</v>
          </cell>
        </row>
        <row r="65">
          <cell r="A65" t="str">
            <v>SPL-C90</v>
          </cell>
          <cell r="B65">
            <v>50407</v>
          </cell>
          <cell r="C65" t="str">
            <v>Lámpara de LED's de 90W para luminarias solares en iluminación exterior, 8,000 lúmenes, 24VCD, 4A, súper eficiente</v>
          </cell>
          <cell r="D65">
            <v>369.34976</v>
          </cell>
          <cell r="E65">
            <v>0</v>
          </cell>
          <cell r="F65">
            <v>0.17555857142857142</v>
          </cell>
          <cell r="G65">
            <v>448</v>
          </cell>
          <cell r="H65">
            <v>0</v>
          </cell>
          <cell r="I65">
            <v>597.33333333333337</v>
          </cell>
          <cell r="J65" t="str">
            <v>pza</v>
          </cell>
        </row>
        <row r="66">
          <cell r="A66" t="str">
            <v>06</v>
          </cell>
          <cell r="B66">
            <v>0</v>
          </cell>
          <cell r="C66" t="str">
            <v>Soportes (06)</v>
          </cell>
          <cell r="D66">
            <v>0</v>
          </cell>
          <cell r="E66">
            <v>0</v>
          </cell>
          <cell r="I66">
            <v>0</v>
          </cell>
        </row>
        <row r="67">
          <cell r="A67">
            <v>0</v>
          </cell>
          <cell r="B67">
            <v>0</v>
          </cell>
          <cell r="C67" t="str">
            <v>Soportes para módulos fuera de la red</v>
          </cell>
          <cell r="D67">
            <v>0</v>
          </cell>
          <cell r="E67">
            <v>0</v>
          </cell>
          <cell r="I67">
            <v>0</v>
          </cell>
        </row>
        <row r="68">
          <cell r="C68" t="str">
            <v>Tipo Escuadra</v>
          </cell>
          <cell r="I68">
            <v>0</v>
          </cell>
        </row>
        <row r="69">
          <cell r="A69" t="str">
            <v>SE-50</v>
          </cell>
          <cell r="B69">
            <v>90903</v>
          </cell>
          <cell r="C69" t="str">
            <v>Soporte de aluminio tipo escuadra para módulo de 50 W (par), incluye tornillería</v>
          </cell>
          <cell r="D69">
            <v>4.6242937853107344</v>
          </cell>
          <cell r="E69">
            <v>0</v>
          </cell>
          <cell r="F69">
            <v>0.17740112994350274</v>
          </cell>
          <cell r="G69">
            <v>5.6215659340659334</v>
          </cell>
          <cell r="I69">
            <v>7.4954212454212445</v>
          </cell>
          <cell r="J69" t="str">
            <v>pza</v>
          </cell>
        </row>
        <row r="70">
          <cell r="A70" t="str">
            <v>SE-100</v>
          </cell>
          <cell r="B70">
            <v>90904</v>
          </cell>
          <cell r="C70" t="str">
            <v>Soporte de aluminio tipo escuadra para módulo de 100 W (par), incluye tornillería</v>
          </cell>
          <cell r="D70">
            <v>4.3903954802259886</v>
          </cell>
          <cell r="E70">
            <v>0</v>
          </cell>
          <cell r="F70">
            <v>0.22881355932203395</v>
          </cell>
          <cell r="G70">
            <v>5.6930402930402932</v>
          </cell>
          <cell r="I70">
            <v>7.5907203907203913</v>
          </cell>
          <cell r="J70" t="str">
            <v>pza</v>
          </cell>
        </row>
        <row r="71">
          <cell r="C71" t="str">
            <v>Tipo Tubular</v>
          </cell>
          <cell r="I71">
            <v>0</v>
          </cell>
          <cell r="J71">
            <v>0</v>
          </cell>
        </row>
        <row r="72">
          <cell r="A72" t="str">
            <v>ST-01</v>
          </cell>
          <cell r="B72">
            <v>90102</v>
          </cell>
          <cell r="C72" t="str">
            <v>Soporte tubular con inclinación/orientación ajustable para un módulo (50W a 150 W). Incluye: Tubo acero galvanizado de 3 m altura (ced.30, 60 mm. diam), cabezal inoxidable, travesaño "T" + largueros galvanizados, abrazadera, tornillería</v>
          </cell>
          <cell r="D72">
            <v>35.367231638418083</v>
          </cell>
          <cell r="E72">
            <v>0</v>
          </cell>
          <cell r="F72">
            <v>0.17750624096702133</v>
          </cell>
          <cell r="G72">
            <v>43</v>
          </cell>
          <cell r="I72">
            <v>57.333333333333336</v>
          </cell>
          <cell r="J72" t="str">
            <v>jgo</v>
          </cell>
        </row>
        <row r="73">
          <cell r="A73" t="str">
            <v>ST-02</v>
          </cell>
          <cell r="B73">
            <v>90103</v>
          </cell>
          <cell r="C73" t="str">
            <v xml:space="preserve">Soporte tubular con inclinación/orientación ajustable para dos módulos (50W a 150 W). Incluye: Tubo acero galvanizado de 3 m altura (ced.30, 60 mm. diam), cabeza inoxidable, travesaño "T" + largueros galvanizados, abrazadera, puntal, tornillería. </v>
          </cell>
          <cell r="D73">
            <v>48.587570621468927</v>
          </cell>
          <cell r="E73">
            <v>0</v>
          </cell>
          <cell r="F73">
            <v>0.17648185387340801</v>
          </cell>
          <cell r="G73">
            <v>59</v>
          </cell>
          <cell r="I73">
            <v>78.666666666666671</v>
          </cell>
          <cell r="J73" t="str">
            <v>jgo</v>
          </cell>
        </row>
        <row r="74">
          <cell r="A74" t="str">
            <v>07</v>
          </cell>
          <cell r="B74">
            <v>0</v>
          </cell>
          <cell r="C74" t="str">
            <v>Convertidores</v>
          </cell>
          <cell r="I74">
            <v>0</v>
          </cell>
          <cell r="J74">
            <v>0</v>
          </cell>
        </row>
        <row r="75">
          <cell r="A75" t="str">
            <v>CC-1.5A</v>
          </cell>
          <cell r="B75">
            <v>150102</v>
          </cell>
          <cell r="C75" t="str">
            <v>Convertidor CD/CD de 1.5 A, 12 V a 9V, 7.5V, 6V, 4.5V, 3V, en gabinete anticorrosión, con fusible electrónico de restablecimiento automático, indicador de encendido, cable con conector múltiple y clips para conexión a aparatos alimentados.</v>
          </cell>
          <cell r="D75">
            <v>11.581920903954803</v>
          </cell>
          <cell r="E75">
            <v>0</v>
          </cell>
          <cell r="F75">
            <v>0.19317942723553472</v>
          </cell>
          <cell r="G75">
            <v>14.355014355014355</v>
          </cell>
          <cell r="I75">
            <v>19.140019140019138</v>
          </cell>
          <cell r="J75" t="str">
            <v>pza</v>
          </cell>
        </row>
        <row r="76">
          <cell r="A76">
            <v>0</v>
          </cell>
          <cell r="B76">
            <v>0</v>
          </cell>
          <cell r="C76" t="str">
            <v>Estantes y Gabinetes (08)</v>
          </cell>
          <cell r="I76">
            <v>0</v>
          </cell>
        </row>
        <row r="77">
          <cell r="A77" t="str">
            <v>CM-1P</v>
          </cell>
          <cell r="B77" t="str">
            <v>100101</v>
          </cell>
          <cell r="C77" t="str">
            <v>Gabinete plástico profesional para una batería 31H, resistente a la corrosión, con salidas de ventilación, salida de cableado, cinto de seguridad, contención de derrames, agarraderas y asiento de neopreno para las baterías. Garantía de 10 años.</v>
          </cell>
          <cell r="D77">
            <v>7.1442800000000002</v>
          </cell>
          <cell r="E77">
            <v>0</v>
          </cell>
          <cell r="F77">
            <v>0.4046433333333333</v>
          </cell>
          <cell r="G77">
            <v>12</v>
          </cell>
          <cell r="I77">
            <v>16</v>
          </cell>
          <cell r="J77" t="str">
            <v>pza</v>
          </cell>
        </row>
        <row r="78">
          <cell r="A78" t="str">
            <v>CM-B04</v>
          </cell>
          <cell r="B78">
            <v>100111</v>
          </cell>
          <cell r="C78" t="str">
            <v>Estante abierto para 4 baterías Surrette en tubular de acero galvanizado.</v>
          </cell>
          <cell r="D78">
            <v>62.711864406779661</v>
          </cell>
          <cell r="E78">
            <v>0</v>
          </cell>
          <cell r="F78">
            <v>0.12900188323917139</v>
          </cell>
          <cell r="G78">
            <v>72</v>
          </cell>
          <cell r="I78">
            <v>96</v>
          </cell>
          <cell r="J78" t="str">
            <v>pza</v>
          </cell>
        </row>
        <row r="79">
          <cell r="A79" t="str">
            <v>CM-B06</v>
          </cell>
          <cell r="B79">
            <v>100112</v>
          </cell>
          <cell r="C79" t="str">
            <v>Estante galvanizado abierto para 6 baterías (sobre pedido). Indicar modelo de la batería.</v>
          </cell>
          <cell r="D79">
            <v>67.79661016949153</v>
          </cell>
          <cell r="E79">
            <v>0</v>
          </cell>
          <cell r="F79">
            <v>0.13081269013472399</v>
          </cell>
          <cell r="G79">
            <v>78</v>
          </cell>
          <cell r="I79">
            <v>104</v>
          </cell>
          <cell r="J79" t="str">
            <v>pza</v>
          </cell>
        </row>
        <row r="80">
          <cell r="A80" t="str">
            <v>CM-B08</v>
          </cell>
          <cell r="B80">
            <v>100113</v>
          </cell>
          <cell r="C80" t="str">
            <v>Estante galvanizado abierto para 8 baterías (sobre pedido). Indicar modelo de la batería.</v>
          </cell>
          <cell r="D80">
            <v>73.44632768361582</v>
          </cell>
          <cell r="E80">
            <v>0</v>
          </cell>
          <cell r="F80">
            <v>0.12978284735052337</v>
          </cell>
          <cell r="G80">
            <v>84.399999999999991</v>
          </cell>
          <cell r="I80">
            <v>112.53333333333332</v>
          </cell>
          <cell r="J80" t="str">
            <v>pza</v>
          </cell>
        </row>
        <row r="81">
          <cell r="A81">
            <v>0</v>
          </cell>
          <cell r="B81">
            <v>0</v>
          </cell>
          <cell r="C81" t="str">
            <v>Refrigerador-Congelador CD (09)</v>
          </cell>
          <cell r="D81">
            <v>0</v>
          </cell>
          <cell r="E81">
            <v>0</v>
          </cell>
          <cell r="I81">
            <v>0</v>
          </cell>
        </row>
        <row r="82">
          <cell r="A82" t="str">
            <v>DC-050</v>
          </cell>
          <cell r="B82" t="str">
            <v>060101</v>
          </cell>
          <cell r="C82" t="str">
            <v>Congelador-refrigerador en CD, SunDanzer DC-050, cap. 50 litros. Opera a 12 V o 24 V</v>
          </cell>
          <cell r="D82">
            <v>488.60699999999997</v>
          </cell>
          <cell r="E82">
            <v>0</v>
          </cell>
          <cell r="F82">
            <v>0.1801895973154363</v>
          </cell>
          <cell r="G82">
            <v>596</v>
          </cell>
          <cell r="I82">
            <v>794.66666666666663</v>
          </cell>
          <cell r="J82" t="str">
            <v>pza</v>
          </cell>
        </row>
        <row r="83">
          <cell r="A83" t="str">
            <v>DC-165</v>
          </cell>
          <cell r="B83" t="str">
            <v>060102</v>
          </cell>
          <cell r="C83" t="str">
            <v>Congelador-refrigerador en CD, SunDanzer DC-165, cap. 165 litros. Opera a 12 V o 24 V</v>
          </cell>
          <cell r="D83">
            <v>680.68999999999994</v>
          </cell>
          <cell r="E83">
            <v>0</v>
          </cell>
          <cell r="F83">
            <v>0.17989156626506031</v>
          </cell>
          <cell r="G83">
            <v>830</v>
          </cell>
          <cell r="I83">
            <v>1106.6666666666667</v>
          </cell>
          <cell r="J83" t="str">
            <v>pza</v>
          </cell>
        </row>
        <row r="84">
          <cell r="A84" t="str">
            <v>DC-225</v>
          </cell>
          <cell r="B84" t="str">
            <v>060103</v>
          </cell>
          <cell r="C84" t="str">
            <v>Congelador-refrigerador en CD, SunDanzer DC-225, cap. 225 litros. Opera a 12 V o 24 V</v>
          </cell>
          <cell r="D84">
            <v>876.375</v>
          </cell>
          <cell r="E84">
            <v>0</v>
          </cell>
          <cell r="F84">
            <v>0.23259632224168125</v>
          </cell>
          <cell r="G84">
            <v>1142</v>
          </cell>
          <cell r="I84">
            <v>1522.6666666666667</v>
          </cell>
          <cell r="J84" t="str">
            <v>pza</v>
          </cell>
        </row>
        <row r="85">
          <cell r="A85" t="str">
            <v>10</v>
          </cell>
          <cell r="B85">
            <v>0</v>
          </cell>
          <cell r="C85" t="str">
            <v>Bombas (10)</v>
          </cell>
          <cell r="D85">
            <v>0</v>
          </cell>
          <cell r="E85">
            <v>0</v>
          </cell>
          <cell r="I85">
            <v>0</v>
          </cell>
        </row>
        <row r="86">
          <cell r="C86" t="str">
            <v>Bombas de Diafragma de Superficie</v>
          </cell>
          <cell r="F86">
            <v>0</v>
          </cell>
          <cell r="I86">
            <v>0</v>
          </cell>
        </row>
        <row r="87">
          <cell r="A87" t="str">
            <v>DP-35</v>
          </cell>
          <cell r="B87">
            <v>70106</v>
          </cell>
          <cell r="C87" t="str">
            <v>Bomba de diafragma, 12 V, 35PSI, superficie, autocebante hasta 4 m. Bombea hasta 750 litros/hora a 22 m (8 A)</v>
          </cell>
          <cell r="D87">
            <v>34.017000000000003</v>
          </cell>
          <cell r="E87">
            <v>0</v>
          </cell>
          <cell r="F87">
            <v>0.31965999999999994</v>
          </cell>
          <cell r="G87">
            <v>50</v>
          </cell>
          <cell r="I87">
            <v>66.666666666666671</v>
          </cell>
          <cell r="J87" t="str">
            <v>pza</v>
          </cell>
        </row>
        <row r="88">
          <cell r="A88" t="str">
            <v>DP-40</v>
          </cell>
          <cell r="B88">
            <v>70108</v>
          </cell>
          <cell r="C88" t="str">
            <v>Bomba de diafragma, 12 V, 40PSI, superficie, autocebante hasta 4 m. Bombea hasta 1000 litros/hora a 27 m (15 A)</v>
          </cell>
          <cell r="D88">
            <v>45.743099999999998</v>
          </cell>
          <cell r="E88">
            <v>0</v>
          </cell>
          <cell r="F88">
            <v>0.16830727272727275</v>
          </cell>
          <cell r="G88">
            <v>55</v>
          </cell>
          <cell r="I88">
            <v>73.333333333333329</v>
          </cell>
          <cell r="J88" t="str">
            <v>pza</v>
          </cell>
        </row>
        <row r="89">
          <cell r="A89" t="str">
            <v>DP-70</v>
          </cell>
          <cell r="B89">
            <v>70107</v>
          </cell>
          <cell r="C89" t="str">
            <v>Bomba de diafragma, 12 V, 70PSI, superficie, autocebante hasta 4 m. Bombea hasta 450 litros/hora a 45 m (7.5 A)</v>
          </cell>
          <cell r="D89">
            <v>35.19</v>
          </cell>
          <cell r="E89">
            <v>0</v>
          </cell>
          <cell r="F89">
            <v>0.32326923076923081</v>
          </cell>
          <cell r="G89">
            <v>52</v>
          </cell>
          <cell r="I89">
            <v>69.333333333333329</v>
          </cell>
          <cell r="J89" t="str">
            <v>pza</v>
          </cell>
        </row>
        <row r="90">
          <cell r="C90" t="str">
            <v>Bombas de Diafragma Sumergibles</v>
          </cell>
          <cell r="I90">
            <v>0</v>
          </cell>
        </row>
        <row r="91">
          <cell r="A91" t="str">
            <v>SDS-D-128</v>
          </cell>
          <cell r="B91">
            <v>70201</v>
          </cell>
          <cell r="C91" t="str">
            <v>Bomba sumergible de diafragma, bronce grado marino SDS-D-128. 2,000 litros diarios @ 50 m de elevación con 180 watts de módulos solares (no incluidos). Salida de 1/2"</v>
          </cell>
          <cell r="D91">
            <v>579.39800000000002</v>
          </cell>
          <cell r="E91">
            <v>0</v>
          </cell>
          <cell r="F91">
            <v>0.2170297297297297</v>
          </cell>
          <cell r="G91">
            <v>740</v>
          </cell>
          <cell r="I91">
            <v>986.66666666666663</v>
          </cell>
          <cell r="J91" t="str">
            <v>pza</v>
          </cell>
        </row>
        <row r="92">
          <cell r="A92" t="str">
            <v>SDS-Q-128</v>
          </cell>
          <cell r="B92">
            <v>70202</v>
          </cell>
          <cell r="C92" t="str">
            <v>Bomba sumergible de diafragma, bronce grado marino SDS-Q-128. 3,800 litros diarios @ 35 m de elevación con 180 watts de módulos solares (no incluidos). Salida de 3/4"</v>
          </cell>
          <cell r="D92">
            <v>620.68000000000006</v>
          </cell>
          <cell r="E92">
            <v>0</v>
          </cell>
          <cell r="F92">
            <v>0.20425641025641017</v>
          </cell>
          <cell r="G92">
            <v>780</v>
          </cell>
          <cell r="H92">
            <v>0</v>
          </cell>
          <cell r="I92">
            <v>1040</v>
          </cell>
          <cell r="J92" t="str">
            <v>pza</v>
          </cell>
        </row>
        <row r="93">
          <cell r="A93" t="str">
            <v>PCA30M</v>
          </cell>
          <cell r="B93">
            <v>70402</v>
          </cell>
          <cell r="C93" t="str">
            <v>Controlador/Acoplador de máxima potencia, 8 A, 30 V, para bomba SunPumps</v>
          </cell>
          <cell r="D93">
            <v>232.26500000000001</v>
          </cell>
          <cell r="E93">
            <v>0</v>
          </cell>
          <cell r="F93">
            <v>0.1704821428571428</v>
          </cell>
          <cell r="G93">
            <v>280</v>
          </cell>
          <cell r="I93">
            <v>373.33333333333331</v>
          </cell>
          <cell r="J93" t="str">
            <v>pza</v>
          </cell>
        </row>
        <row r="94">
          <cell r="C94" t="str">
            <v>Bombas Centrífugas Sumergibles</v>
          </cell>
          <cell r="I94">
            <v>0</v>
          </cell>
        </row>
        <row r="95">
          <cell r="A95" t="str">
            <v>11SQF-2</v>
          </cell>
          <cell r="B95">
            <v>70206</v>
          </cell>
          <cell r="C95" t="str">
            <v>Bomba Sumergible Grundfos, Acero Inoxidable, mod. 11SQF-2</v>
          </cell>
          <cell r="D95">
            <v>1667.5</v>
          </cell>
          <cell r="E95">
            <v>0</v>
          </cell>
          <cell r="F95">
            <v>0.12236842105263158</v>
          </cell>
          <cell r="G95">
            <v>1900</v>
          </cell>
          <cell r="I95">
            <v>2533.3333333333335</v>
          </cell>
          <cell r="J95" t="str">
            <v>pza</v>
          </cell>
        </row>
        <row r="96">
          <cell r="A96" t="str">
            <v>40SQF-5</v>
          </cell>
          <cell r="B96">
            <v>70207</v>
          </cell>
          <cell r="C96" t="str">
            <v>Bomba Sumergible Grundfos, Acero Inoxidable, mod. 40SQF-5</v>
          </cell>
          <cell r="D96">
            <v>1667.5</v>
          </cell>
          <cell r="E96">
            <v>0</v>
          </cell>
          <cell r="F96">
            <v>0.12236842105263158</v>
          </cell>
          <cell r="G96">
            <v>1900</v>
          </cell>
          <cell r="I96">
            <v>2533.3333333333335</v>
          </cell>
          <cell r="J96" t="str">
            <v>pza</v>
          </cell>
        </row>
        <row r="97">
          <cell r="A97" t="str">
            <v>25 SQF-7</v>
          </cell>
          <cell r="B97">
            <v>70208</v>
          </cell>
          <cell r="C97" t="str">
            <v>Bomba Sumergible Grundfos, Acero Inoxidable, mod. 25SQF-7</v>
          </cell>
          <cell r="D97">
            <v>1667.5</v>
          </cell>
          <cell r="E97">
            <v>0</v>
          </cell>
          <cell r="F97">
            <v>0.12236842105263158</v>
          </cell>
          <cell r="G97">
            <v>1900</v>
          </cell>
          <cell r="I97">
            <v>2533.3333333333335</v>
          </cell>
          <cell r="J97" t="str">
            <v>pza</v>
          </cell>
        </row>
        <row r="98">
          <cell r="A98" t="str">
            <v>16SQF-10</v>
          </cell>
          <cell r="B98">
            <v>70209</v>
          </cell>
          <cell r="C98" t="str">
            <v>Bomba Sumergible Grundfos, Acero Inoxidable, mod. 16SQF-10</v>
          </cell>
          <cell r="D98">
            <v>1667.5</v>
          </cell>
          <cell r="E98">
            <v>0</v>
          </cell>
          <cell r="F98">
            <v>0.12236842105263158</v>
          </cell>
          <cell r="G98">
            <v>1900</v>
          </cell>
          <cell r="I98">
            <v>2533.3333333333335</v>
          </cell>
          <cell r="J98" t="str">
            <v>pza</v>
          </cell>
        </row>
        <row r="99">
          <cell r="A99" t="str">
            <v>6SQF-3</v>
          </cell>
          <cell r="B99">
            <v>70215</v>
          </cell>
          <cell r="C99" t="str">
            <v>Bomba Sumergible Grundfos, Acero Inoxidable, mod. 6SQF-3</v>
          </cell>
          <cell r="D99">
            <v>1667.5</v>
          </cell>
          <cell r="E99">
            <v>0</v>
          </cell>
          <cell r="F99">
            <v>0.12236842105263158</v>
          </cell>
          <cell r="G99">
            <v>1900</v>
          </cell>
          <cell r="I99">
            <v>2533.3333333333335</v>
          </cell>
          <cell r="J99" t="str">
            <v>pza</v>
          </cell>
        </row>
        <row r="100">
          <cell r="A100" t="str">
            <v>6SQF-2</v>
          </cell>
          <cell r="B100">
            <v>70216</v>
          </cell>
          <cell r="C100" t="str">
            <v>Bomba Sumergible Grundfos, Acero Inoxidable, mod. 6SQF-2</v>
          </cell>
          <cell r="D100">
            <v>1667.5</v>
          </cell>
          <cell r="E100">
            <v>0</v>
          </cell>
          <cell r="F100">
            <v>0.12236842105263158</v>
          </cell>
          <cell r="G100">
            <v>1900</v>
          </cell>
          <cell r="I100">
            <v>2533.3333333333335</v>
          </cell>
          <cell r="J100" t="str">
            <v>pza</v>
          </cell>
        </row>
        <row r="101">
          <cell r="A101" t="str">
            <v>IO-50</v>
          </cell>
          <cell r="B101">
            <v>70404</v>
          </cell>
          <cell r="C101" t="str">
            <v>Interruptor d modelo IO-50</v>
          </cell>
          <cell r="D101">
            <v>115.5</v>
          </cell>
          <cell r="E101">
            <v>0</v>
          </cell>
          <cell r="F101">
            <v>0.17999999999999994</v>
          </cell>
          <cell r="G101">
            <v>140.85365853658536</v>
          </cell>
          <cell r="I101">
            <v>187.80487804878047</v>
          </cell>
          <cell r="J101" t="str">
            <v>pza</v>
          </cell>
        </row>
        <row r="102">
          <cell r="A102" t="str">
            <v>CU-200</v>
          </cell>
          <cell r="B102">
            <v>70405</v>
          </cell>
          <cell r="C102" t="str">
            <v>Interruptor de Interfase modelo CU200</v>
          </cell>
          <cell r="D102">
            <v>306.5</v>
          </cell>
          <cell r="E102">
            <v>0</v>
          </cell>
          <cell r="F102">
            <v>0.18048128342245989</v>
          </cell>
          <cell r="G102">
            <v>374</v>
          </cell>
          <cell r="I102">
            <v>498.66666666666669</v>
          </cell>
          <cell r="J102" t="str">
            <v>pza</v>
          </cell>
        </row>
        <row r="103">
          <cell r="C103" t="str">
            <v>Accesorios, herramientas</v>
          </cell>
          <cell r="I103">
            <v>0</v>
          </cell>
        </row>
        <row r="104">
          <cell r="B104">
            <v>0</v>
          </cell>
          <cell r="C104" t="str">
            <v>Conectores MC4 para módulo</v>
          </cell>
          <cell r="D104">
            <v>0</v>
          </cell>
          <cell r="E104">
            <v>0</v>
          </cell>
          <cell r="I104">
            <v>0</v>
          </cell>
        </row>
        <row r="105">
          <cell r="A105" t="str">
            <v>MC4-M</v>
          </cell>
          <cell r="B105">
            <v>10901</v>
          </cell>
          <cell r="C105" t="str">
            <v>Conector macho MC4 para módulo</v>
          </cell>
          <cell r="D105">
            <v>0.64529500000000006</v>
          </cell>
          <cell r="E105">
            <v>0</v>
          </cell>
          <cell r="F105">
            <v>0.35470499999999994</v>
          </cell>
          <cell r="G105">
            <v>1</v>
          </cell>
          <cell r="I105">
            <v>1.3333333333333333</v>
          </cell>
          <cell r="J105" t="str">
            <v>pza</v>
          </cell>
        </row>
        <row r="106">
          <cell r="A106" t="str">
            <v>MC4-H</v>
          </cell>
          <cell r="B106">
            <v>10902</v>
          </cell>
          <cell r="C106" t="str">
            <v>Conector hembra MC4 para módulo</v>
          </cell>
          <cell r="D106">
            <v>0.64529500000000006</v>
          </cell>
          <cell r="E106">
            <v>0</v>
          </cell>
          <cell r="F106">
            <v>0.35470499999999994</v>
          </cell>
          <cell r="G106">
            <v>1</v>
          </cell>
          <cell r="I106">
            <v>1.3333333333333333</v>
          </cell>
          <cell r="J106" t="str">
            <v>pza</v>
          </cell>
        </row>
        <row r="107">
          <cell r="A107" t="str">
            <v>MC4-Y-H</v>
          </cell>
          <cell r="B107">
            <v>10907</v>
          </cell>
          <cell r="C107" t="str">
            <v>Conector MC4 de derivación (Y), hembra</v>
          </cell>
          <cell r="D107">
            <v>1.9648000000000001</v>
          </cell>
          <cell r="E107">
            <v>0</v>
          </cell>
          <cell r="F107">
            <v>0.38600000000000001</v>
          </cell>
          <cell r="G107">
            <v>3.2</v>
          </cell>
          <cell r="I107">
            <v>4.2666666666666666</v>
          </cell>
          <cell r="J107" t="str">
            <v>pza</v>
          </cell>
        </row>
        <row r="108">
          <cell r="A108" t="str">
            <v>MC4-Y-M</v>
          </cell>
          <cell r="B108">
            <v>10908</v>
          </cell>
          <cell r="C108" t="str">
            <v>Conector MC4 de derivación (Y), macho</v>
          </cell>
          <cell r="D108">
            <v>1.9648000000000001</v>
          </cell>
          <cell r="E108">
            <v>0</v>
          </cell>
          <cell r="F108">
            <v>0.38600000000000001</v>
          </cell>
          <cell r="G108">
            <v>3.2</v>
          </cell>
          <cell r="I108">
            <v>4.2666666666666666</v>
          </cell>
          <cell r="J108" t="str">
            <v>pza</v>
          </cell>
        </row>
        <row r="109">
          <cell r="A109" t="str">
            <v>SC-P4AM</v>
          </cell>
          <cell r="B109">
            <v>10905</v>
          </cell>
          <cell r="C109" t="str">
            <v>Conector MC4 macho para gabinete</v>
          </cell>
          <cell r="D109">
            <v>0.64449999999999996</v>
          </cell>
          <cell r="E109">
            <v>0</v>
          </cell>
          <cell r="F109">
            <v>0.35550000000000004</v>
          </cell>
          <cell r="G109">
            <v>1</v>
          </cell>
          <cell r="I109">
            <v>1.3333333333333333</v>
          </cell>
          <cell r="J109" t="str">
            <v>pza</v>
          </cell>
        </row>
        <row r="110">
          <cell r="A110" t="str">
            <v>SC-P4AH</v>
          </cell>
          <cell r="B110">
            <v>10906</v>
          </cell>
          <cell r="C110" t="str">
            <v>Conector MC4 hembra para gabinete</v>
          </cell>
          <cell r="D110">
            <v>0.64449999999999996</v>
          </cell>
          <cell r="E110">
            <v>0</v>
          </cell>
          <cell r="F110">
            <v>0.35550000000000004</v>
          </cell>
          <cell r="G110">
            <v>1</v>
          </cell>
          <cell r="I110">
            <v>1.3333333333333333</v>
          </cell>
          <cell r="J110" t="str">
            <v>pza</v>
          </cell>
        </row>
        <row r="111">
          <cell r="B111">
            <v>0</v>
          </cell>
          <cell r="C111" t="str">
            <v>Herramientas</v>
          </cell>
          <cell r="D111">
            <v>0</v>
          </cell>
          <cell r="E111">
            <v>0</v>
          </cell>
          <cell r="I111">
            <v>0</v>
          </cell>
        </row>
        <row r="112">
          <cell r="A112" t="str">
            <v>P-MC4</v>
          </cell>
          <cell r="B112">
            <v>170600</v>
          </cell>
          <cell r="C112" t="str">
            <v>Pinza para aplicar conector MC4</v>
          </cell>
          <cell r="D112">
            <v>35.880000000000003</v>
          </cell>
          <cell r="E112">
            <v>0</v>
          </cell>
          <cell r="F112">
            <v>0.16558139534883715</v>
          </cell>
          <cell r="G112">
            <v>43</v>
          </cell>
          <cell r="I112">
            <v>57.333333333333336</v>
          </cell>
          <cell r="J112" t="str">
            <v>pza</v>
          </cell>
        </row>
        <row r="113">
          <cell r="A113" t="str">
            <v>SC-T002</v>
          </cell>
          <cell r="B113">
            <v>10903</v>
          </cell>
          <cell r="C113" t="str">
            <v>llave para ensamble de conector MC4</v>
          </cell>
          <cell r="D113">
            <v>3.1709399999999999</v>
          </cell>
          <cell r="E113">
            <v>0</v>
          </cell>
          <cell r="F113">
            <v>0.20726500000000003</v>
          </cell>
          <cell r="G113">
            <v>4</v>
          </cell>
          <cell r="I113">
            <v>5.333333333333333</v>
          </cell>
          <cell r="J113" t="str">
            <v>pza</v>
          </cell>
        </row>
        <row r="114">
          <cell r="A114" t="str">
            <v>MeRad</v>
          </cell>
          <cell r="B114">
            <v>150104</v>
          </cell>
          <cell r="C114" t="str">
            <v>Medidor de radiación solar Tenmars</v>
          </cell>
          <cell r="D114">
            <v>64.308000000000007</v>
          </cell>
          <cell r="E114">
            <v>0</v>
          </cell>
          <cell r="F114">
            <v>0.16823384854168003</v>
          </cell>
          <cell r="G114">
            <v>77.314999999999998</v>
          </cell>
          <cell r="I114">
            <v>103.08666666666666</v>
          </cell>
          <cell r="J114" t="str">
            <v>pza</v>
          </cell>
        </row>
        <row r="115">
          <cell r="A115">
            <v>0</v>
          </cell>
          <cell r="B115">
            <v>0</v>
          </cell>
          <cell r="C115" t="str">
            <v>Supresores de descargas eléctricas</v>
          </cell>
          <cell r="D115">
            <v>0</v>
          </cell>
          <cell r="E115">
            <v>0</v>
          </cell>
          <cell r="I115">
            <v>0</v>
          </cell>
        </row>
        <row r="116">
          <cell r="A116" t="str">
            <v>LA 302-DC</v>
          </cell>
          <cell r="B116">
            <v>150123</v>
          </cell>
          <cell r="C116" t="str">
            <v>Supresor de picos de voltaje para CD (Lighting Arrestor), 500 V max, 2000 Joules por línea.</v>
          </cell>
          <cell r="D116">
            <v>32.0625</v>
          </cell>
          <cell r="E116">
            <v>0</v>
          </cell>
          <cell r="F116">
            <v>0.16285900783289811</v>
          </cell>
          <cell r="G116">
            <v>38.299999999999997</v>
          </cell>
          <cell r="H116">
            <v>0</v>
          </cell>
          <cell r="I116">
            <v>51.066666666666663</v>
          </cell>
          <cell r="J116" t="str">
            <v>pza</v>
          </cell>
        </row>
        <row r="117">
          <cell r="A117" t="str">
            <v>LA 302-CA</v>
          </cell>
          <cell r="B117">
            <v>150121</v>
          </cell>
          <cell r="C117" t="str">
            <v>Supresor de picos de voltaje para CA (Lighting Arrestor), 2 fases, 500 V max.</v>
          </cell>
          <cell r="D117">
            <v>27.666</v>
          </cell>
          <cell r="E117">
            <v>0</v>
          </cell>
          <cell r="F117">
            <v>0.29061538461538461</v>
          </cell>
          <cell r="G117">
            <v>39</v>
          </cell>
          <cell r="H117">
            <v>0</v>
          </cell>
          <cell r="I117">
            <v>52</v>
          </cell>
          <cell r="J117" t="str">
            <v>pza</v>
          </cell>
        </row>
        <row r="118">
          <cell r="A118" t="str">
            <v>12</v>
          </cell>
          <cell r="B118">
            <v>0</v>
          </cell>
          <cell r="C118" t="str">
            <v>Sistemas (12)</v>
          </cell>
          <cell r="D118">
            <v>0</v>
          </cell>
          <cell r="E118">
            <v>0</v>
          </cell>
          <cell r="I118">
            <v>0</v>
          </cell>
        </row>
        <row r="119">
          <cell r="A119" t="str">
            <v>NUESTROS KITS SOLARES REQUIEREN UN ELECTRICISTA CAPACITADO EN SU INSTALACIÓN, CONSULTENOS</v>
          </cell>
          <cell r="B119">
            <v>0</v>
          </cell>
          <cell r="C119">
            <v>0</v>
          </cell>
          <cell r="D119">
            <v>0</v>
          </cell>
          <cell r="E119">
            <v>0</v>
          </cell>
          <cell r="F119">
            <v>0</v>
          </cell>
          <cell r="G119">
            <v>0</v>
          </cell>
          <cell r="H119">
            <v>0</v>
          </cell>
          <cell r="I119">
            <v>0</v>
          </cell>
        </row>
        <row r="120">
          <cell r="C120" t="str">
            <v>Luminarias Solares de LEDs 30 W</v>
          </cell>
          <cell r="I120">
            <v>0</v>
          </cell>
        </row>
        <row r="121">
          <cell r="A121" t="str">
            <v>CNX-LS30-100</v>
          </cell>
          <cell r="B121">
            <v>114101</v>
          </cell>
          <cell r="C121" t="str">
            <v>Luminaria Solar con lámpara de LEDs de 2500 lm de 30W de potencia, con un módulo solar de 100 W, para 10 horas de operación por noche: Poste recto de 6 m de altura, gabinete metálico para batería apropiado para intemperie, con aislamiento térmico para proteger la vida de las mismas incluye además el control de carga con programación digital, precableado. Una batería libre mantenimiento con 3.5 días de autonomía. Espaciamiento entre luminarias: 15m</v>
          </cell>
          <cell r="D121">
            <v>678.37558209039537</v>
          </cell>
          <cell r="F121">
            <v>0.20124171259055412</v>
          </cell>
          <cell r="G121">
            <v>849.28769163763059</v>
          </cell>
          <cell r="I121">
            <v>1132</v>
          </cell>
          <cell r="J121" t="str">
            <v>sist.</v>
          </cell>
        </row>
        <row r="122">
          <cell r="A122" t="str">
            <v>CNX-LS30-150</v>
          </cell>
          <cell r="B122">
            <v>114119</v>
          </cell>
          <cell r="C122" t="str">
            <v>Luminaria Solar con lámpara de LEDs de 2500 lm de 30W de potencia, con arreglo solar de 150 W, para operación toda la noche. Incluye poste recto de 6 m de altura, gabinete metálico para batería apropiado para intemperie, con aislamiento térmico para proteger la vida de las mismas, aloja además el control de carga con programación digital, precableado. Dos baterías libre mantenimiento para 6 días de autonomía. Espaciamiento entre luminarias: 15m</v>
          </cell>
          <cell r="D122">
            <v>778.84620355932202</v>
          </cell>
          <cell r="F122">
            <v>0.17127698268541966</v>
          </cell>
          <cell r="G122">
            <v>939.81485645604403</v>
          </cell>
          <cell r="I122">
            <v>1253</v>
          </cell>
          <cell r="J122" t="str">
            <v>sist.</v>
          </cell>
        </row>
        <row r="123">
          <cell r="A123" t="str">
            <v>CNX-2LS30-300</v>
          </cell>
          <cell r="B123">
            <v>114103</v>
          </cell>
          <cell r="C123" t="str">
            <v>Luminaria Solar de brazo doble con dos lámparas de LEDs de 2500 lm, 30W de potencia cada una, arreglo solar de 300 W para operación toda la noche. Poste cónico de 6 m de altura, dos gabinetes metálicos para baterías apropiado para intemperie, con aislamiento térmico para proteger la vida de las mismas, aloja además el control de carga con programación digital, precableado. Tres baterías libre mantenimiento con 4 días de autonomía. Espaciamiento entre luminarias: 15 m.</v>
          </cell>
          <cell r="D123">
            <v>1269.2096681355931</v>
          </cell>
          <cell r="F123">
            <v>0.1704875350131011</v>
          </cell>
          <cell r="G123">
            <v>1530.0670233516487</v>
          </cell>
          <cell r="I123">
            <v>2040</v>
          </cell>
          <cell r="J123" t="str">
            <v>sist.</v>
          </cell>
        </row>
        <row r="124">
          <cell r="C124" t="str">
            <v>Luminarias Solares de LEDs 55 W</v>
          </cell>
          <cell r="D124">
            <v>0</v>
          </cell>
          <cell r="E124">
            <v>0</v>
          </cell>
          <cell r="G124">
            <v>0</v>
          </cell>
          <cell r="I124">
            <v>0</v>
          </cell>
        </row>
        <row r="125">
          <cell r="A125" t="str">
            <v>CNX-LD48-100</v>
          </cell>
          <cell r="B125">
            <v>114104</v>
          </cell>
          <cell r="C125" t="str">
            <v>Luminaria Solar con lámpara de LEDs de 4600 lm con 48 W de potencia, un panel solar de 100 Wp, para 6 horas de operación cada noche. Poste cónico de 8 m de altura, gabinete metálico para baterías y control, apropiado para intemperie, con aislamiento térmico para proteger la vida de las mismas, aloja admás el control de carga con programación digital, precableado. Dos batería libre mantenimiento para  6.5 días de autonomía. Espaciamiento entre luminarias: 25m. OPERACION A 12V</v>
          </cell>
          <cell r="D125">
            <v>866.54106457627108</v>
          </cell>
          <cell r="F125">
            <v>0.18728552636282039</v>
          </cell>
          <cell r="G125">
            <v>1066.2306291878854</v>
          </cell>
          <cell r="I125">
            <v>1421.6408389171804</v>
          </cell>
          <cell r="J125" t="str">
            <v>sist.</v>
          </cell>
        </row>
        <row r="126">
          <cell r="A126" t="str">
            <v>CNX-LD48-250</v>
          </cell>
          <cell r="B126">
            <v>114105</v>
          </cell>
          <cell r="C126" t="str">
            <v>Luminaria Solar con Lámpara de LEDs de 4600 lm con 55 W de potencia, panel solar de 250 W, para operación toda la noche. Poste cónico de 8 m de altura, gabinete metálico para baterías y control, apropiado para intemperie, con aislamiento térmico para proteger la vida de las mismas, aloja el control de carga con programación digital, precableado. Dos baterías libre mantenimiento con 3.2 días de autonomía.  Espaciamiento entre luminarias: 25 m.</v>
          </cell>
          <cell r="D126">
            <v>935.83146457627117</v>
          </cell>
          <cell r="F126">
            <v>0.18975630772617214</v>
          </cell>
          <cell r="G126">
            <v>1155</v>
          </cell>
          <cell r="I126">
            <v>1540</v>
          </cell>
          <cell r="J126" t="str">
            <v>sist.</v>
          </cell>
        </row>
        <row r="127">
          <cell r="A127" t="str">
            <v>CNX-2LD48-500</v>
          </cell>
          <cell r="B127">
            <v>114106</v>
          </cell>
          <cell r="C127" t="str">
            <v>Luminaria Solar doble con dos lámpara de LEDs de 4600 lm con 55 W de potencia cada una, arreglo solar de 500 W, para operación toda la noche. Poste cónico de 8 m de altura reforzado para recibir el tamaño de arreglo solar, gabinetes metálico para baterías y control, apropiado para intemperie, con aislamiento térmico para proteger la vida de las mismas, aloja el control de carga con programación digital, precableado. Cuatro baterías libre mantenimiento con 3.2 días de autonomía.  Espaciamiento entre luminarias: 25 m.</v>
          </cell>
          <cell r="D127">
            <v>1663.0018536158193</v>
          </cell>
          <cell r="F127">
            <v>0.18754224839079403</v>
          </cell>
          <cell r="G127">
            <v>2046.8779457417584</v>
          </cell>
          <cell r="I127">
            <v>2729</v>
          </cell>
          <cell r="J127" t="str">
            <v>sist.</v>
          </cell>
        </row>
        <row r="128">
          <cell r="C128">
            <v>0</v>
          </cell>
          <cell r="G128">
            <v>0</v>
          </cell>
          <cell r="I128">
            <v>0</v>
          </cell>
        </row>
        <row r="129">
          <cell r="C129" t="str">
            <v>Luminarios de LEDs 90 W</v>
          </cell>
          <cell r="D129">
            <v>0</v>
          </cell>
          <cell r="E129">
            <v>0</v>
          </cell>
          <cell r="G129">
            <v>0</v>
          </cell>
          <cell r="I129">
            <v>0</v>
          </cell>
        </row>
        <row r="130">
          <cell r="A130" t="str">
            <v>CNX-SPL90-250</v>
          </cell>
          <cell r="B130">
            <v>114136</v>
          </cell>
          <cell r="C130" t="str">
            <v>Luminaria Solar con Lámpara de LED’s de 90 W, potencia lumínica 8,000 lm, arreglo solar de 250 Wp para operar 9 horas por noche. Poste cónico de 11 m de altura, gabinete metálico para baterías y control, galvanizado y recubierto de poliéster, con aislamiento térmico para proteger la vida de las mismas, apropiado para intemperie.  Dos baterías libre mantenimiento para un respaldo de 3 días. Espaciamiento recomendado entre luminarias: 35 m</v>
          </cell>
          <cell r="D130">
            <v>1130.5124045762711</v>
          </cell>
          <cell r="F130">
            <v>0.18652165969393256</v>
          </cell>
          <cell r="G130">
            <v>1389.7264973901101</v>
          </cell>
          <cell r="I130">
            <v>1852.9686631868135</v>
          </cell>
          <cell r="J130" t="str">
            <v>sist.</v>
          </cell>
        </row>
        <row r="131">
          <cell r="A131" t="str">
            <v>CNX-SPL90-500</v>
          </cell>
          <cell r="B131">
            <v>114123</v>
          </cell>
          <cell r="C131" t="str">
            <v>Luminaria Solar con Lámpara de LED’s de 90 W, potencia lumínica 8,000 lm, arreglo solar de 500 Wp para operar toda la noche. Poste cónico de 11 m de altura reforzado para recibir el arreglo  solar de gran tamaño. Gabinete metálico para baterías y control, galvanizado y recubierto de poliéster, apropiado para intemperie y con aislamiento térmico para proteger la vida de las mismas. Cuatro baterías libre mantenimiento para 3 días de automnomía. Espaciamiento recomendado entre luminarias: 35 m</v>
          </cell>
          <cell r="D131">
            <v>1500.3425740677967</v>
          </cell>
          <cell r="F131">
            <v>0.18537632938330209</v>
          </cell>
          <cell r="G131">
            <v>1841.7615743131871</v>
          </cell>
          <cell r="I131">
            <v>2455.6820990842493</v>
          </cell>
          <cell r="J131" t="str">
            <v>sist.</v>
          </cell>
        </row>
        <row r="132">
          <cell r="A132">
            <v>0</v>
          </cell>
          <cell r="B132">
            <v>0</v>
          </cell>
          <cell r="C132">
            <v>0</v>
          </cell>
          <cell r="D132">
            <v>0</v>
          </cell>
          <cell r="E132">
            <v>0</v>
          </cell>
          <cell r="F132">
            <v>0</v>
          </cell>
          <cell r="G132">
            <v>0</v>
          </cell>
          <cell r="H132">
            <v>0</v>
          </cell>
          <cell r="I132">
            <v>0</v>
          </cell>
        </row>
        <row r="133">
          <cell r="C133" t="str">
            <v>Plantas Eléctricas Solares (PES), sin baterías</v>
          </cell>
          <cell r="D133">
            <v>0</v>
          </cell>
          <cell r="E133">
            <v>0</v>
          </cell>
          <cell r="G133">
            <v>0</v>
          </cell>
          <cell r="I133">
            <v>0</v>
          </cell>
        </row>
        <row r="134">
          <cell r="A134" t="str">
            <v>CNX-50-1</v>
          </cell>
          <cell r="C134" t="str">
            <v>Planta Solar Rural Conermex de 50 W con 4 Lámparas de 11 W, incluye convertidor CD/CD para alimentar equipos de 3 a 12V</v>
          </cell>
          <cell r="D134">
            <v>118.43670152542376</v>
          </cell>
          <cell r="F134">
            <v>0.227464067709271</v>
          </cell>
          <cell r="G134">
            <v>153.3089874204743</v>
          </cell>
          <cell r="I134">
            <v>204.41198322729906</v>
          </cell>
          <cell r="J134" t="str">
            <v>kit</v>
          </cell>
        </row>
        <row r="135">
          <cell r="A135" t="str">
            <v>CNX-50-3</v>
          </cell>
          <cell r="B135">
            <v>110121</v>
          </cell>
          <cell r="C135" t="str">
            <v>Planta Solar Rural Conermex de 50 W con 4 Lámparas de 11 W  e inversor de 450W, incluye convertidor CD/CD para alimentar equipos de 3 a 12V</v>
          </cell>
          <cell r="D135">
            <v>146.35530152542376</v>
          </cell>
          <cell r="F135">
            <v>0.22976084214854919</v>
          </cell>
          <cell r="G135">
            <v>190.01280320994795</v>
          </cell>
          <cell r="I135">
            <v>253.35040427993059</v>
          </cell>
          <cell r="J135" t="str">
            <v>kit</v>
          </cell>
        </row>
        <row r="136">
          <cell r="A136" t="str">
            <v>CNX-100-1</v>
          </cell>
          <cell r="B136">
            <v>110103</v>
          </cell>
          <cell r="C136" t="str">
            <v>Planta Solar Rural Conermex de 100 W con 4 Lámparas de 15 W, incluye convertidor CD/CD para alimentar equipos de 3 a 12V.</v>
          </cell>
          <cell r="D136">
            <v>147.48748322033899</v>
          </cell>
          <cell r="F136">
            <v>0.23975524113227326</v>
          </cell>
          <cell r="G136">
            <v>194</v>
          </cell>
          <cell r="I136">
            <v>258.66666666666669</v>
          </cell>
          <cell r="J136" t="str">
            <v>kit</v>
          </cell>
        </row>
        <row r="137">
          <cell r="A137" t="str">
            <v>CNX-100-3</v>
          </cell>
          <cell r="B137">
            <v>110104</v>
          </cell>
          <cell r="C137" t="str">
            <v>Planta Solar Rural Conermex de 100 W con 4 Lámparas de 15 W  e inversor de 800W. Incluye convertidor CD/CD para alimentar equipos de 3 a 12V</v>
          </cell>
          <cell r="D137">
            <v>196.25668322033897</v>
          </cell>
          <cell r="F137">
            <v>0.2333723311705509</v>
          </cell>
          <cell r="G137">
            <v>256</v>
          </cell>
          <cell r="I137">
            <v>341.33333333333331</v>
          </cell>
          <cell r="J137" t="str">
            <v>kit</v>
          </cell>
        </row>
        <row r="138">
          <cell r="A138" t="str">
            <v>CNX-150-3</v>
          </cell>
          <cell r="B138">
            <v>110105</v>
          </cell>
          <cell r="C138" t="str">
            <v>Planta Solar Rural Conermex de 150 W con 4 Lámparas de 15 W  e inversor de 800W. Incluye convertidor CD/CD para alimentar equipos de 3 a 12V</v>
          </cell>
          <cell r="D138">
            <v>232.86690920903956</v>
          </cell>
          <cell r="F138">
            <v>0.2185674187616122</v>
          </cell>
          <cell r="G138">
            <v>298</v>
          </cell>
          <cell r="I138">
            <v>397.33333333333331</v>
          </cell>
          <cell r="J138" t="str">
            <v>kit</v>
          </cell>
        </row>
        <row r="139">
          <cell r="C139">
            <v>0</v>
          </cell>
          <cell r="G139">
            <v>0</v>
          </cell>
          <cell r="I139">
            <v>0</v>
          </cell>
        </row>
        <row r="140">
          <cell r="C140" t="str">
            <v>Plantas de Bombeo de Superficie (con bomba de diafragma)</v>
          </cell>
          <cell r="D140">
            <v>0</v>
          </cell>
          <cell r="E140">
            <v>0</v>
          </cell>
          <cell r="G140">
            <v>0</v>
          </cell>
          <cell r="I140">
            <v>0</v>
          </cell>
        </row>
        <row r="141">
          <cell r="A141" t="str">
            <v>CNX-BDP35</v>
          </cell>
          <cell r="B141">
            <v>113118</v>
          </cell>
          <cell r="C141" t="str">
            <v>Sistema de Bombeo Solar Conermex de superficie con módulo solar de 150 Wp y bomba DP-35,  gasto diario  en un día despejado de 4800 litros a 10 m de elevación. Acoplamiento sin baterías, operación automática (incluye interruptor de apagado manual por el usuario). Soporte para módulos solares a poste con inclinación  y orientación ajustable, fabricado en acero galvanizado e inox. Succión máxima: 3-4 metros de profundidad sin válvula de pie. No incluye tubería ni conexiones hidráulicas.</v>
          </cell>
          <cell r="D141">
            <v>206.03301372881356</v>
          </cell>
          <cell r="F141">
            <v>0.18240867567931127</v>
          </cell>
          <cell r="G141">
            <v>252</v>
          </cell>
          <cell r="I141">
            <v>336</v>
          </cell>
          <cell r="J141" t="str">
            <v>kit</v>
          </cell>
        </row>
        <row r="142">
          <cell r="A142" t="str">
            <v>CNX-BDP40</v>
          </cell>
          <cell r="B142">
            <v>113102</v>
          </cell>
          <cell r="C142" t="str">
            <v>Sistema de Bombeo Solar Conermex de superficie con arreglo solar de 200Wp y bomba DP-40,  gasto diario  en un día despejado de 3400 litros a 20 m de elevación. Acoplamiento sin baterías, operación automática (incluye interruptor de apagado manual por el usuario). Soporte de módulo solar a poste con inclinación  y orientación ajustable, fabricado en acero galvanizado e inox. Succión máxima: 3-4 metros de profundidad sin válvula de pie. No incluye tubería ni conexiones hidráulicas.</v>
          </cell>
          <cell r="D142">
            <v>250.64445141242936</v>
          </cell>
          <cell r="F142">
            <v>0.21673608933615823</v>
          </cell>
          <cell r="G142">
            <v>320</v>
          </cell>
          <cell r="I142">
            <v>426.66666666666669</v>
          </cell>
          <cell r="J142" t="str">
            <v>kit</v>
          </cell>
        </row>
        <row r="143">
          <cell r="A143" t="str">
            <v>CNX-BDP70</v>
          </cell>
          <cell r="B143">
            <v>113103</v>
          </cell>
          <cell r="C143" t="str">
            <v>Sistema de Bombeo Solar Conermex de superficie con panel solar de 150Wp y bomba DP-70, gasto diario  en un día despejado de 2000 litros a 35 m de elevación. Acoplamiento sin baterías, operación automática (incluye interruptor de apagado manual por el usuario). Soporte de módulo solar a poste con inclinación  y orientación ajustable, fabricado en acero galvanizado e inox. Succión máxima : 3 a 4 metros de profundidad sin válvula de pie. No incluye tubería ni conexiones hidráulicas.</v>
          </cell>
          <cell r="D143">
            <v>205.91542372881352</v>
          </cell>
          <cell r="F143">
            <v>0.1828753026634384</v>
          </cell>
          <cell r="G143">
            <v>252</v>
          </cell>
          <cell r="I143">
            <v>336</v>
          </cell>
          <cell r="J143" t="str">
            <v>kit</v>
          </cell>
        </row>
        <row r="144">
          <cell r="C144" t="str">
            <v>Plantas de Bombeo Sumergible (con bomba de diafragma)</v>
          </cell>
          <cell r="D144">
            <v>0</v>
          </cell>
          <cell r="E144">
            <v>0</v>
          </cell>
          <cell r="G144">
            <v>0</v>
          </cell>
          <cell r="I144">
            <v>0</v>
          </cell>
        </row>
        <row r="145">
          <cell r="A145" t="str">
            <v>CNX-D128</v>
          </cell>
          <cell r="B145">
            <v>113104</v>
          </cell>
          <cell r="C145" t="str">
            <v xml:space="preserve">Sistema de Bombeo Conermex de 100 Wp con bomba sumergible SunPumps SDS-D-128. Gasto diario (ejemplo) de 1,500 litros/día a 40 m de profundidad en un día despejado. Acoplador electrónico, no requiere baterías, operación automática (incluye interruptor de apagado manual por el usuario). Soporte de módulo solar a poste con inclinación  y orientación ajustable, fabricado en acero galvanizado e inox. </v>
          </cell>
          <cell r="D145">
            <v>993.62345197740115</v>
          </cell>
          <cell r="F145">
            <v>0.17198045668549905</v>
          </cell>
          <cell r="G145">
            <v>1200</v>
          </cell>
          <cell r="I145">
            <v>1600</v>
          </cell>
          <cell r="J145" t="str">
            <v>kit</v>
          </cell>
        </row>
        <row r="146">
          <cell r="A146" t="str">
            <v>CNX-Q128</v>
          </cell>
          <cell r="B146">
            <v>113105</v>
          </cell>
          <cell r="C146" t="str">
            <v xml:space="preserve">Sistema de Bombeo Conermex de 100 W con bomba sumergible SunPumps SDS-Q128. Gasto diario de 3,000 litros/día a 25 m de profundidad en un día despejado. Acoplamiento electrónico, no require baterías, operación automática (incluye interruptor de apagado manual por el usuario). Soporte de módulo solar a poste con inclinación  y orientación ajustable, fabricado en acero galvanizado e inox. </v>
          </cell>
          <cell r="D146">
            <v>1034.9054519774013</v>
          </cell>
          <cell r="F146">
            <v>0.17207563841807896</v>
          </cell>
          <cell r="G146">
            <v>1250</v>
          </cell>
          <cell r="I146">
            <v>1666.6666666666667</v>
          </cell>
          <cell r="J146" t="str">
            <v>kit</v>
          </cell>
        </row>
        <row r="147">
          <cell r="A147">
            <v>0</v>
          </cell>
          <cell r="B147">
            <v>0</v>
          </cell>
          <cell r="C147">
            <v>0</v>
          </cell>
          <cell r="D147">
            <v>0</v>
          </cell>
          <cell r="E147">
            <v>0</v>
          </cell>
          <cell r="F147">
            <v>0</v>
          </cell>
          <cell r="G147">
            <v>0</v>
          </cell>
          <cell r="H147">
            <v>0</v>
          </cell>
          <cell r="I147">
            <v>0</v>
          </cell>
        </row>
        <row r="148">
          <cell r="C148" t="str">
            <v>Paquetes de Refrigeración</v>
          </cell>
          <cell r="D148">
            <v>0</v>
          </cell>
          <cell r="E148">
            <v>0</v>
          </cell>
          <cell r="G148">
            <v>0</v>
          </cell>
          <cell r="I148">
            <v>0</v>
          </cell>
        </row>
        <row r="149">
          <cell r="A149" t="str">
            <v>CNX-REF50</v>
          </cell>
          <cell r="B149">
            <v>112101</v>
          </cell>
          <cell r="C149" t="str">
            <v>Sistema Solar de Refrigeración rural que incluye: Refrigerador de 50 litros de alta eficiencia, arreglo solar de 100 W, una batería de 115 Ah libre de mantenimiento, controlador de carga y todo lo necesario para una instalación profesional.</v>
          </cell>
          <cell r="D149">
            <v>716.88470107344631</v>
          </cell>
          <cell r="F149">
            <v>0.17989972549993374</v>
          </cell>
          <cell r="G149">
            <v>874.14274005756158</v>
          </cell>
          <cell r="I149">
            <v>1165.523653410082</v>
          </cell>
          <cell r="J149" t="str">
            <v>sist.</v>
          </cell>
        </row>
        <row r="150">
          <cell r="A150" t="str">
            <v>CNX-REF165</v>
          </cell>
          <cell r="B150">
            <v>112102</v>
          </cell>
          <cell r="C150" t="str">
            <v>Sistema Solar de Refrigeración uso doméstico que incluye: Refrigerador de 165 litros de alta eficiencia, paneles solar de 150 Wp, 2 baterías de 12 volts, 115 Ah libre de mantenimiento, controlador de carga de 20 A todo lo necesario para una instalación profesional</v>
          </cell>
          <cell r="D150">
            <v>1030.6587607344634</v>
          </cell>
          <cell r="F150">
            <v>0.17216163796428643</v>
          </cell>
          <cell r="G150">
            <v>1245</v>
          </cell>
          <cell r="I150">
            <v>1660</v>
          </cell>
          <cell r="J150" t="str">
            <v>sist.</v>
          </cell>
        </row>
        <row r="151">
          <cell r="A151" t="str">
            <v>CNX-REF225</v>
          </cell>
          <cell r="B151">
            <v>112103</v>
          </cell>
          <cell r="C151" t="str">
            <v>Sistema Solar de Refrigeración uso comercial (congelador) que incluye: Refrigerador de 225 litros de alta eficiencia, 300 Wp de paneles solares, 3 baterías de 115 Ah libre de mantenimiento, controlador de carga a 12 V, 20 Amp y todo lo necesario para una instalación profesional</v>
          </cell>
          <cell r="D151">
            <v>1424.2447593785309</v>
          </cell>
          <cell r="F151">
            <v>0.18846452457063764</v>
          </cell>
          <cell r="G151">
            <v>1755</v>
          </cell>
          <cell r="I151">
            <v>2340</v>
          </cell>
          <cell r="J151" t="str">
            <v>sist.</v>
          </cell>
        </row>
        <row r="152">
          <cell r="A152">
            <v>0</v>
          </cell>
          <cell r="B152">
            <v>0</v>
          </cell>
          <cell r="C152">
            <v>0</v>
          </cell>
          <cell r="D152">
            <v>0</v>
          </cell>
          <cell r="E152">
            <v>0</v>
          </cell>
          <cell r="F152">
            <v>0</v>
          </cell>
          <cell r="G152">
            <v>0</v>
          </cell>
          <cell r="H152">
            <v>0</v>
          </cell>
          <cell r="I152">
            <v>0</v>
          </cell>
          <cell r="J152">
            <v>0</v>
          </cell>
        </row>
        <row r="153">
          <cell r="A153">
            <v>0</v>
          </cell>
          <cell r="B153">
            <v>0</v>
          </cell>
          <cell r="C153" t="str">
            <v>Complementos para Sistemas Fuera de la Red</v>
          </cell>
          <cell r="D153">
            <v>0</v>
          </cell>
          <cell r="E153">
            <v>0</v>
          </cell>
          <cell r="F153">
            <v>0</v>
          </cell>
          <cell r="G153">
            <v>0</v>
          </cell>
          <cell r="H153">
            <v>0</v>
          </cell>
          <cell r="I153">
            <v>0</v>
          </cell>
          <cell r="J153">
            <v>0</v>
          </cell>
        </row>
        <row r="154">
          <cell r="A154" t="str">
            <v>CNX-A131</v>
          </cell>
          <cell r="B154">
            <v>500201</v>
          </cell>
          <cell r="C154" t="str">
            <v>Cable y accesorios para instalación de lámpara de PES: 10 m cordon flexible 2x14 AWG, apagador de sobreponer  socket de sobreponer de plástico</v>
          </cell>
          <cell r="D154">
            <v>5.028248587570622</v>
          </cell>
          <cell r="E154">
            <v>0</v>
          </cell>
          <cell r="F154">
            <v>0</v>
          </cell>
          <cell r="G154">
            <v>0</v>
          </cell>
          <cell r="H154">
            <v>0</v>
          </cell>
          <cell r="I154">
            <v>0</v>
          </cell>
          <cell r="J154" t="str">
            <v>jgo</v>
          </cell>
        </row>
        <row r="155">
          <cell r="A155" t="str">
            <v>CNX-A132</v>
          </cell>
          <cell r="B155">
            <v>500202</v>
          </cell>
          <cell r="C155" t="str">
            <v>Cable para interconexión de módulo: 10 m cordón duplex flexible, especificación UV para acometida exterior calibre 2x12 AWG</v>
          </cell>
          <cell r="D155">
            <v>8.8305084745762716</v>
          </cell>
          <cell r="E155">
            <v>0</v>
          </cell>
          <cell r="F155">
            <v>0</v>
          </cell>
          <cell r="G155">
            <v>0</v>
          </cell>
          <cell r="H155">
            <v>0</v>
          </cell>
          <cell r="I155">
            <v>0</v>
          </cell>
          <cell r="J155" t="str">
            <v>jgo</v>
          </cell>
        </row>
        <row r="156">
          <cell r="A156" t="str">
            <v>CNX-A133</v>
          </cell>
          <cell r="B156">
            <v>500203</v>
          </cell>
          <cell r="C156" t="str">
            <v>Juego de accesorios para instalación profesional de planta electrica solar, incluye tornillería, sujetadores, grapas, capuchones, etc, en caja plástico de compartimentos), grapas sujetacables de plástico, tablillas de madera para fijar apagador, taquete plástico y pijas</v>
          </cell>
          <cell r="D156">
            <v>8.7197740112994317</v>
          </cell>
          <cell r="E156">
            <v>0</v>
          </cell>
          <cell r="F156">
            <v>0</v>
          </cell>
          <cell r="G156">
            <v>0</v>
          </cell>
          <cell r="H156">
            <v>0</v>
          </cell>
          <cell r="I156">
            <v>0</v>
          </cell>
          <cell r="J156" t="str">
            <v>jgo</v>
          </cell>
        </row>
        <row r="157">
          <cell r="A157">
            <v>0</v>
          </cell>
          <cell r="B157">
            <v>0</v>
          </cell>
          <cell r="C157" t="str">
            <v>Accesorios para Luminaria Solares</v>
          </cell>
          <cell r="D157">
            <v>0</v>
          </cell>
          <cell r="E157">
            <v>0</v>
          </cell>
          <cell r="F157">
            <v>0</v>
          </cell>
          <cell r="G157">
            <v>0</v>
          </cell>
          <cell r="H157">
            <v>0</v>
          </cell>
          <cell r="I157">
            <v>0</v>
          </cell>
          <cell r="J157">
            <v>0</v>
          </cell>
        </row>
        <row r="158">
          <cell r="A158" t="str">
            <v>AD-1M</v>
          </cell>
          <cell r="B158">
            <v>90132</v>
          </cell>
          <cell r="C158" t="str">
            <v>Adaptador para un módulo a travesaño</v>
          </cell>
          <cell r="D158">
            <v>19.863841807909605</v>
          </cell>
          <cell r="E158">
            <v>0</v>
          </cell>
          <cell r="F158">
            <v>0</v>
          </cell>
          <cell r="G158">
            <v>0</v>
          </cell>
          <cell r="H158">
            <v>0</v>
          </cell>
          <cell r="I158">
            <v>0</v>
          </cell>
          <cell r="J158" t="str">
            <v>jgo</v>
          </cell>
        </row>
        <row r="159">
          <cell r="A159" t="str">
            <v>AD-3M</v>
          </cell>
          <cell r="B159">
            <v>90134</v>
          </cell>
          <cell r="C159" t="str">
            <v>ADAPTADOR P/3 MODULOS C/TORNILLERIA</v>
          </cell>
          <cell r="D159">
            <v>29.378531073446329</v>
          </cell>
          <cell r="E159">
            <v>0</v>
          </cell>
          <cell r="F159">
            <v>0</v>
          </cell>
          <cell r="G159">
            <v>0</v>
          </cell>
          <cell r="H159">
            <v>0</v>
          </cell>
          <cell r="I159">
            <v>0</v>
          </cell>
          <cell r="J159" t="str">
            <v>jgo</v>
          </cell>
        </row>
        <row r="160">
          <cell r="A160" t="str">
            <v>PL-002F</v>
          </cell>
          <cell r="B160">
            <v>140102</v>
          </cell>
          <cell r="C160" t="str">
            <v>Cabezal soporte para un módulo en poste cónico con inclinación y orientación azimutal ajustable.</v>
          </cell>
          <cell r="D160">
            <v>26.572881355932203</v>
          </cell>
          <cell r="E160">
            <v>0</v>
          </cell>
          <cell r="F160">
            <v>0</v>
          </cell>
          <cell r="G160">
            <v>0</v>
          </cell>
          <cell r="H160">
            <v>0</v>
          </cell>
          <cell r="I160">
            <v>0</v>
          </cell>
          <cell r="J160" t="str">
            <v>pza</v>
          </cell>
        </row>
        <row r="161">
          <cell r="A161" t="str">
            <v>PL-002C</v>
          </cell>
          <cell r="B161">
            <v>140110</v>
          </cell>
          <cell r="C161" t="str">
            <v>Poste cónico de 6 m de altura brazo sencillo, con recubrimiento primario anticorrosivo, sin acabado final</v>
          </cell>
          <cell r="D161">
            <v>111.63841807909606</v>
          </cell>
          <cell r="E161">
            <v>0</v>
          </cell>
          <cell r="F161">
            <v>0</v>
          </cell>
          <cell r="G161">
            <v>0</v>
          </cell>
          <cell r="H161">
            <v>0</v>
          </cell>
          <cell r="I161">
            <v>0</v>
          </cell>
          <cell r="J161" t="str">
            <v>pza</v>
          </cell>
        </row>
        <row r="162">
          <cell r="A162" t="str">
            <v>PL-009B</v>
          </cell>
          <cell r="B162">
            <v>140115</v>
          </cell>
          <cell r="C162" t="str">
            <v>Brazo para luminaria</v>
          </cell>
          <cell r="D162">
            <v>10.394915254237288</v>
          </cell>
          <cell r="E162">
            <v>0</v>
          </cell>
          <cell r="F162">
            <v>0</v>
          </cell>
          <cell r="G162">
            <v>0</v>
          </cell>
          <cell r="H162">
            <v>0</v>
          </cell>
          <cell r="I162">
            <v>0</v>
          </cell>
          <cell r="J162" t="str">
            <v>pza</v>
          </cell>
        </row>
        <row r="163">
          <cell r="A163" t="str">
            <v>PL-002B</v>
          </cell>
          <cell r="B163">
            <v>140116</v>
          </cell>
          <cell r="C163" t="str">
            <v>Poste cónico de 11 m de altura con recubrimiento primario anticorrosivo, placa de 2.5 mm, sin acabado final</v>
          </cell>
          <cell r="D163">
            <v>217.51412429378533</v>
          </cell>
          <cell r="E163">
            <v>0</v>
          </cell>
          <cell r="F163">
            <v>0</v>
          </cell>
          <cell r="G163">
            <v>0</v>
          </cell>
          <cell r="H163">
            <v>0</v>
          </cell>
          <cell r="I163">
            <v>0</v>
          </cell>
          <cell r="J163" t="str">
            <v>pza</v>
          </cell>
        </row>
        <row r="164">
          <cell r="A164" t="str">
            <v>PL-001</v>
          </cell>
          <cell r="B164">
            <v>140134</v>
          </cell>
          <cell r="C164" t="str">
            <v>Poste cónico de 6 m de altura doble brazo, con recubrimiento primario anticorrosivo (sin acabado final), lámina calibre 11</v>
          </cell>
          <cell r="D164">
            <v>111.63841807909606</v>
          </cell>
          <cell r="E164">
            <v>0</v>
          </cell>
          <cell r="F164">
            <v>0</v>
          </cell>
          <cell r="G164">
            <v>0</v>
          </cell>
          <cell r="H164">
            <v>0</v>
          </cell>
          <cell r="I164">
            <v>0</v>
          </cell>
          <cell r="J164" t="str">
            <v>pza</v>
          </cell>
        </row>
        <row r="165">
          <cell r="A165" t="str">
            <v>PL-002E</v>
          </cell>
          <cell r="B165">
            <v>140101</v>
          </cell>
          <cell r="C165" t="str">
            <v>Poste cónico de 8m de altura con recubrimiento primario anticorrosivo, sin acabado final</v>
          </cell>
          <cell r="D165">
            <v>148.4180790960452</v>
          </cell>
          <cell r="E165">
            <v>0</v>
          </cell>
          <cell r="F165">
            <v>0</v>
          </cell>
          <cell r="G165">
            <v>0</v>
          </cell>
          <cell r="H165">
            <v>0</v>
          </cell>
          <cell r="I165">
            <v>0</v>
          </cell>
          <cell r="J165" t="str">
            <v>pza</v>
          </cell>
        </row>
        <row r="166">
          <cell r="A166" t="str">
            <v>PL-008</v>
          </cell>
          <cell r="B166">
            <v>170119</v>
          </cell>
          <cell r="C166" t="str">
            <v>Anclas 3/4" para poste cónico 6-8 m</v>
          </cell>
          <cell r="D166">
            <v>18.07909604519774</v>
          </cell>
          <cell r="E166">
            <v>0</v>
          </cell>
          <cell r="F166">
            <v>0</v>
          </cell>
          <cell r="G166">
            <v>0</v>
          </cell>
          <cell r="H166">
            <v>0</v>
          </cell>
          <cell r="I166">
            <v>0</v>
          </cell>
          <cell r="J166" t="str">
            <v>pza</v>
          </cell>
        </row>
        <row r="167">
          <cell r="A167" t="str">
            <v>PL-008B</v>
          </cell>
          <cell r="B167">
            <v>170142</v>
          </cell>
          <cell r="C167" t="str">
            <v>Anclas 1" para poste cónico 11m</v>
          </cell>
          <cell r="D167">
            <v>38.531073446327689</v>
          </cell>
          <cell r="E167">
            <v>0</v>
          </cell>
          <cell r="F167">
            <v>0</v>
          </cell>
          <cell r="G167">
            <v>0</v>
          </cell>
          <cell r="H167">
            <v>0</v>
          </cell>
          <cell r="I167">
            <v>0</v>
          </cell>
          <cell r="J167" t="str">
            <v>pza</v>
          </cell>
        </row>
        <row r="168">
          <cell r="A168" t="str">
            <v>PL-003C</v>
          </cell>
          <cell r="B168">
            <v>500206</v>
          </cell>
          <cell r="C168" t="str">
            <v>Gabinete para intemperie para 2 baterías,  en lámina de acero galvanizado con recubrimiento acrílico, aislamiento térrmico interior, precableado en fábrica</v>
          </cell>
          <cell r="D168">
            <v>59.887005649717516</v>
          </cell>
          <cell r="E168">
            <v>0</v>
          </cell>
          <cell r="F168">
            <v>0</v>
          </cell>
          <cell r="G168">
            <v>0</v>
          </cell>
          <cell r="H168">
            <v>0</v>
          </cell>
          <cell r="I168">
            <v>0</v>
          </cell>
          <cell r="J168" t="str">
            <v>pza</v>
          </cell>
        </row>
        <row r="169">
          <cell r="A169" t="str">
            <v>PL-007</v>
          </cell>
          <cell r="B169">
            <v>500209</v>
          </cell>
          <cell r="C169" t="str">
            <v>Juego de cables, tornillería y accesorios para instalación para luminaria de 2 bat. de poste recto</v>
          </cell>
          <cell r="D169">
            <v>37</v>
          </cell>
          <cell r="E169">
            <v>0</v>
          </cell>
          <cell r="F169">
            <v>0</v>
          </cell>
          <cell r="G169">
            <v>0</v>
          </cell>
          <cell r="H169">
            <v>0</v>
          </cell>
          <cell r="I169">
            <v>0</v>
          </cell>
          <cell r="J169" t="str">
            <v>jgo</v>
          </cell>
        </row>
        <row r="170">
          <cell r="A170" t="str">
            <v>PL-002</v>
          </cell>
          <cell r="B170">
            <v>0</v>
          </cell>
          <cell r="C170" t="str">
            <v>Poste recto de 6 m de altura con recubrimiento primario anticorrosivo, 3" de diámetro (sin acabado final), cédula 30</v>
          </cell>
          <cell r="D170">
            <v>0</v>
          </cell>
          <cell r="E170">
            <v>0</v>
          </cell>
          <cell r="F170">
            <v>0</v>
          </cell>
          <cell r="G170">
            <v>0</v>
          </cell>
          <cell r="H170">
            <v>0</v>
          </cell>
          <cell r="I170">
            <v>0</v>
          </cell>
          <cell r="J170" t="str">
            <v>pza</v>
          </cell>
        </row>
        <row r="171">
          <cell r="A171" t="str">
            <v>PL-002D</v>
          </cell>
          <cell r="B171">
            <v>0</v>
          </cell>
          <cell r="C171" t="str">
            <v>Poste cónico de 11 m de altura con recubrimiento primario anticorrosivo, reforzado para el arreglo solar de gran tamaño, sin acabado final</v>
          </cell>
          <cell r="D171">
            <v>542.37288135593224</v>
          </cell>
          <cell r="E171">
            <v>0</v>
          </cell>
          <cell r="F171">
            <v>0</v>
          </cell>
          <cell r="G171">
            <v>0</v>
          </cell>
          <cell r="H171">
            <v>0</v>
          </cell>
          <cell r="I171">
            <v>0</v>
          </cell>
          <cell r="J171" t="str">
            <v>pza</v>
          </cell>
        </row>
        <row r="172">
          <cell r="A172" t="str">
            <v>PL-003</v>
          </cell>
          <cell r="B172">
            <v>0</v>
          </cell>
          <cell r="C172" t="str">
            <v>Estructura soporte (gorro) para dos módulos en poste cónico de  con inclinación y orientación azimutal ajustable.</v>
          </cell>
          <cell r="D172">
            <v>51.977401129943502</v>
          </cell>
          <cell r="E172">
            <v>0</v>
          </cell>
          <cell r="F172">
            <v>0</v>
          </cell>
          <cell r="G172">
            <v>0</v>
          </cell>
          <cell r="H172">
            <v>0</v>
          </cell>
          <cell r="I172">
            <v>0</v>
          </cell>
          <cell r="J172" t="str">
            <v>pza</v>
          </cell>
        </row>
        <row r="173">
          <cell r="A173" t="str">
            <v>PL-003B</v>
          </cell>
          <cell r="B173">
            <v>0</v>
          </cell>
          <cell r="C173" t="str">
            <v>Estructura soporte (gorro) para dos módulos 250W en poste cónico de  con inclinación fija, orientación azimutal ajustable.</v>
          </cell>
          <cell r="D173">
            <v>55.649717514124298</v>
          </cell>
          <cell r="E173">
            <v>0</v>
          </cell>
          <cell r="F173">
            <v>0</v>
          </cell>
          <cell r="G173">
            <v>0</v>
          </cell>
          <cell r="H173">
            <v>0</v>
          </cell>
          <cell r="I173">
            <v>0</v>
          </cell>
          <cell r="J173" t="str">
            <v>pza</v>
          </cell>
        </row>
        <row r="174">
          <cell r="A174" t="str">
            <v>PL-003B1</v>
          </cell>
          <cell r="B174">
            <v>0</v>
          </cell>
          <cell r="C174" t="str">
            <v>Estructura soporte (gorro) para cuatro módulos en poste cónico de  con inclinación y orientación azimutal ajustable.</v>
          </cell>
          <cell r="D174">
            <v>74.576271186440678</v>
          </cell>
          <cell r="E174">
            <v>0</v>
          </cell>
          <cell r="F174">
            <v>0</v>
          </cell>
          <cell r="G174">
            <v>0</v>
          </cell>
          <cell r="H174">
            <v>0</v>
          </cell>
          <cell r="I174">
            <v>0</v>
          </cell>
          <cell r="J174" t="str">
            <v>pza</v>
          </cell>
        </row>
        <row r="175">
          <cell r="A175" t="str">
            <v>PL-004</v>
          </cell>
          <cell r="B175">
            <v>0</v>
          </cell>
          <cell r="C175" t="str">
            <v>Gabinete para 1 batería en lámina de acero.</v>
          </cell>
          <cell r="D175">
            <v>0</v>
          </cell>
          <cell r="E175">
            <v>0</v>
          </cell>
          <cell r="F175">
            <v>0</v>
          </cell>
          <cell r="G175">
            <v>0</v>
          </cell>
          <cell r="H175">
            <v>0</v>
          </cell>
          <cell r="I175">
            <v>0</v>
          </cell>
          <cell r="J175" t="str">
            <v>pza</v>
          </cell>
        </row>
        <row r="176">
          <cell r="A176" t="str">
            <v>PL-004B</v>
          </cell>
          <cell r="B176">
            <v>0</v>
          </cell>
          <cell r="C176" t="str">
            <v>Juego de cables, tornillería y accesorios para instalación para luminaria de 1 bat. de poste recto</v>
          </cell>
          <cell r="D176">
            <v>25</v>
          </cell>
          <cell r="E176">
            <v>0</v>
          </cell>
          <cell r="F176">
            <v>0</v>
          </cell>
          <cell r="G176">
            <v>0</v>
          </cell>
          <cell r="H176">
            <v>0</v>
          </cell>
          <cell r="I176">
            <v>0</v>
          </cell>
          <cell r="J176" t="str">
            <v>jgo</v>
          </cell>
        </row>
        <row r="177">
          <cell r="A177" t="str">
            <v>PL-007B</v>
          </cell>
          <cell r="B177">
            <v>0</v>
          </cell>
          <cell r="C177" t="str">
            <v>Mano de obra.</v>
          </cell>
          <cell r="D177">
            <v>0</v>
          </cell>
          <cell r="E177">
            <v>0</v>
          </cell>
          <cell r="F177">
            <v>0</v>
          </cell>
          <cell r="G177">
            <v>0</v>
          </cell>
          <cell r="H177">
            <v>0</v>
          </cell>
          <cell r="I177">
            <v>0</v>
          </cell>
          <cell r="J177" t="str">
            <v>serv</v>
          </cell>
        </row>
        <row r="178">
          <cell r="A178">
            <v>0</v>
          </cell>
          <cell r="B178">
            <v>0</v>
          </cell>
          <cell r="C178" t="str">
            <v>Cables</v>
          </cell>
          <cell r="D178">
            <v>0</v>
          </cell>
          <cell r="E178">
            <v>0</v>
          </cell>
          <cell r="F178">
            <v>0</v>
          </cell>
          <cell r="G178">
            <v>0</v>
          </cell>
          <cell r="H178">
            <v>0</v>
          </cell>
          <cell r="I178">
            <v>0</v>
          </cell>
          <cell r="J178">
            <v>0</v>
          </cell>
        </row>
        <row r="179">
          <cell r="A179">
            <v>0</v>
          </cell>
          <cell r="B179">
            <v>0</v>
          </cell>
          <cell r="C179" t="str">
            <v>Cable THW, calibre SPT, 2x14 AWG</v>
          </cell>
          <cell r="D179">
            <v>0.4457627118644068</v>
          </cell>
          <cell r="E179">
            <v>0</v>
          </cell>
          <cell r="F179">
            <v>0</v>
          </cell>
          <cell r="G179">
            <v>0</v>
          </cell>
          <cell r="H179">
            <v>0</v>
          </cell>
          <cell r="I179">
            <v>0</v>
          </cell>
          <cell r="J179" t="str">
            <v>m</v>
          </cell>
        </row>
        <row r="180">
          <cell r="A180" t="str">
            <v>SPT14</v>
          </cell>
          <cell r="B180">
            <v>0</v>
          </cell>
          <cell r="C180" t="str">
            <v>Cable TWD 2x12 AWG, especificación UV</v>
          </cell>
          <cell r="D180">
            <v>0.88305084745762719</v>
          </cell>
          <cell r="E180">
            <v>0</v>
          </cell>
          <cell r="F180">
            <v>0</v>
          </cell>
          <cell r="G180">
            <v>0</v>
          </cell>
          <cell r="H180">
            <v>0</v>
          </cell>
          <cell r="I180">
            <v>0</v>
          </cell>
          <cell r="J180" t="str">
            <v>m</v>
          </cell>
        </row>
        <row r="181">
          <cell r="A181" t="str">
            <v>TWD12-UV</v>
          </cell>
          <cell r="B181">
            <v>0</v>
          </cell>
          <cell r="C181" t="str">
            <v>Cable SJT 2x12 de Uso Rudo</v>
          </cell>
          <cell r="D181">
            <v>2.82</v>
          </cell>
          <cell r="E181">
            <v>0</v>
          </cell>
          <cell r="F181">
            <v>0</v>
          </cell>
          <cell r="G181">
            <v>0</v>
          </cell>
          <cell r="H181">
            <v>0</v>
          </cell>
          <cell r="I181">
            <v>0</v>
          </cell>
          <cell r="J181" t="str">
            <v>m</v>
          </cell>
        </row>
        <row r="182">
          <cell r="A182" t="str">
            <v>UR2x12</v>
          </cell>
          <cell r="B182">
            <v>0</v>
          </cell>
          <cell r="C182" t="str">
            <v>Cable uso rudo 3x12 AWG</v>
          </cell>
          <cell r="D182">
            <v>0</v>
          </cell>
          <cell r="E182">
            <v>0</v>
          </cell>
          <cell r="F182">
            <v>0</v>
          </cell>
          <cell r="G182">
            <v>0</v>
          </cell>
          <cell r="H182">
            <v>0</v>
          </cell>
          <cell r="I182">
            <v>0</v>
          </cell>
          <cell r="J182" t="str">
            <v>m</v>
          </cell>
        </row>
        <row r="183">
          <cell r="A183" t="str">
            <v>UR3x12</v>
          </cell>
          <cell r="B183">
            <v>0</v>
          </cell>
          <cell r="C183" t="str">
            <v>Cable para bomba sumergible 3 x11 AWG</v>
          </cell>
          <cell r="D183">
            <v>1.1649717514124296</v>
          </cell>
          <cell r="E183">
            <v>0</v>
          </cell>
          <cell r="F183">
            <v>0</v>
          </cell>
          <cell r="G183">
            <v>0</v>
          </cell>
          <cell r="H183">
            <v>0</v>
          </cell>
          <cell r="I183">
            <v>0</v>
          </cell>
          <cell r="J183" t="str">
            <v>m</v>
          </cell>
        </row>
        <row r="184">
          <cell r="A184" t="str">
            <v>SUB3x10</v>
          </cell>
          <cell r="B184">
            <v>0</v>
          </cell>
          <cell r="C184" t="str">
            <v>Accesorios para Sistema de Bombeo</v>
          </cell>
          <cell r="D184">
            <v>0</v>
          </cell>
          <cell r="E184">
            <v>0</v>
          </cell>
          <cell r="F184">
            <v>0</v>
          </cell>
          <cell r="G184">
            <v>0</v>
          </cell>
          <cell r="H184">
            <v>0</v>
          </cell>
          <cell r="I184">
            <v>0</v>
          </cell>
          <cell r="J184">
            <v>0</v>
          </cell>
        </row>
        <row r="185">
          <cell r="A185" t="str">
            <v>ACC-SDP</v>
          </cell>
          <cell r="B185">
            <v>500116</v>
          </cell>
          <cell r="C185" t="str">
            <v>Juego de Cable y Accesorios para integrar sistema de bombeo de superficie para bombas de diafragama tipo DP: varilla de tierra de 1/2" con conector mecánico, alambre de aluminio para aterriza cal 6 AWG, cable tipo UV cal 12 AWG para interconectar módulo solar a bomba,   tornillería inoxidable</v>
          </cell>
          <cell r="D185">
            <v>19.774011299435028</v>
          </cell>
          <cell r="E185">
            <v>0</v>
          </cell>
          <cell r="F185">
            <v>0</v>
          </cell>
          <cell r="G185">
            <v>0</v>
          </cell>
          <cell r="H185">
            <v>0</v>
          </cell>
          <cell r="I185">
            <v>0</v>
          </cell>
          <cell r="J185" t="str">
            <v>pza</v>
          </cell>
        </row>
        <row r="186">
          <cell r="A186" t="str">
            <v>ACC-SSP</v>
          </cell>
          <cell r="B186">
            <v>500117</v>
          </cell>
          <cell r="C186" t="str">
            <v>Juego de Cable y Accesorios para integrar sistema de bomebo sumergible Sun Pumps: varilla de tierra de 1/2" con conector mecánico, alambre de aluminio para aterrizar cal. 6 AWG, cable cal 12 AWG para interconectar módulos solares, terminales de compresión, tornillería inoxidable, 1kg  de soga de nylon de 3/8" de alta resistencia, termocontractil para sellar conexión sumergida de bomba, pasacables sellado para salir del control de bombeo, etc.</v>
          </cell>
          <cell r="D186">
            <v>28.248587570621471</v>
          </cell>
          <cell r="E186">
            <v>0</v>
          </cell>
          <cell r="F186">
            <v>0</v>
          </cell>
          <cell r="G186">
            <v>0</v>
          </cell>
          <cell r="H186">
            <v>0</v>
          </cell>
          <cell r="I186">
            <v>0</v>
          </cell>
          <cell r="J186" t="str">
            <v>pza</v>
          </cell>
        </row>
        <row r="187">
          <cell r="A187" t="str">
            <v>I-SDP</v>
          </cell>
          <cell r="B187">
            <v>500120</v>
          </cell>
          <cell r="C187" t="str">
            <v>Interruptor de encendido en caja para intemperie</v>
          </cell>
          <cell r="D187">
            <v>16.384180790960453</v>
          </cell>
          <cell r="E187">
            <v>0</v>
          </cell>
          <cell r="F187">
            <v>0</v>
          </cell>
          <cell r="G187">
            <v>0</v>
          </cell>
          <cell r="H187">
            <v>0</v>
          </cell>
          <cell r="I187">
            <v>0</v>
          </cell>
          <cell r="J187" t="str">
            <v>pza</v>
          </cell>
        </row>
        <row r="188">
          <cell r="A188">
            <v>0</v>
          </cell>
          <cell r="B188">
            <v>0</v>
          </cell>
          <cell r="C188" t="str">
            <v>Kit de empalme termocontractil</v>
          </cell>
          <cell r="D188">
            <v>0</v>
          </cell>
          <cell r="E188">
            <v>0</v>
          </cell>
          <cell r="F188">
            <v>0</v>
          </cell>
          <cell r="G188">
            <v>0</v>
          </cell>
          <cell r="H188">
            <v>0</v>
          </cell>
          <cell r="I188">
            <v>0</v>
          </cell>
          <cell r="J188" t="str">
            <v>jgo</v>
          </cell>
        </row>
        <row r="189">
          <cell r="A189">
            <v>0</v>
          </cell>
          <cell r="B189">
            <v>0</v>
          </cell>
          <cell r="C189" t="str">
            <v xml:space="preserve">Manguera Tramada de 1/2" </v>
          </cell>
          <cell r="D189">
            <v>0</v>
          </cell>
          <cell r="E189">
            <v>0</v>
          </cell>
          <cell r="F189">
            <v>0</v>
          </cell>
          <cell r="G189">
            <v>0</v>
          </cell>
          <cell r="H189">
            <v>0</v>
          </cell>
          <cell r="I189">
            <v>0</v>
          </cell>
          <cell r="J189" t="str">
            <v>m</v>
          </cell>
        </row>
        <row r="190">
          <cell r="A190">
            <v>0</v>
          </cell>
          <cell r="B190">
            <v>0</v>
          </cell>
          <cell r="C190" t="str">
            <v xml:space="preserve">Manguera Tramada de 5/8" </v>
          </cell>
          <cell r="D190">
            <v>0</v>
          </cell>
          <cell r="E190">
            <v>0</v>
          </cell>
          <cell r="F190">
            <v>0</v>
          </cell>
          <cell r="G190">
            <v>0</v>
          </cell>
          <cell r="H190">
            <v>0</v>
          </cell>
          <cell r="I190">
            <v>0</v>
          </cell>
          <cell r="J190" t="str">
            <v>m</v>
          </cell>
        </row>
        <row r="191">
          <cell r="A191">
            <v>0</v>
          </cell>
          <cell r="B191">
            <v>0</v>
          </cell>
          <cell r="C191" t="str">
            <v xml:space="preserve">Manguera Tramada de 3/4" </v>
          </cell>
          <cell r="D191">
            <v>0</v>
          </cell>
          <cell r="E191">
            <v>0</v>
          </cell>
          <cell r="F191">
            <v>0</v>
          </cell>
          <cell r="G191">
            <v>0</v>
          </cell>
          <cell r="H191">
            <v>0</v>
          </cell>
          <cell r="I191">
            <v>0</v>
          </cell>
          <cell r="J191" t="str">
            <v>m</v>
          </cell>
        </row>
        <row r="192">
          <cell r="A192">
            <v>0</v>
          </cell>
          <cell r="B192">
            <v>0</v>
          </cell>
          <cell r="C192" t="str">
            <v>Cuerda de Nylon de alta resistencia</v>
          </cell>
          <cell r="D192">
            <v>1.43</v>
          </cell>
          <cell r="E192">
            <v>0</v>
          </cell>
          <cell r="F192">
            <v>0</v>
          </cell>
          <cell r="G192">
            <v>0</v>
          </cell>
          <cell r="H192">
            <v>0</v>
          </cell>
          <cell r="I192">
            <v>0</v>
          </cell>
          <cell r="J192" t="str">
            <v>m</v>
          </cell>
        </row>
        <row r="193">
          <cell r="A193" t="str">
            <v>C-Ny</v>
          </cell>
          <cell r="B193">
            <v>0</v>
          </cell>
          <cell r="C193" t="str">
            <v>Poliducto de polietileno negro para bombeo de 1-1/4" de diámetro</v>
          </cell>
          <cell r="D193">
            <v>0</v>
          </cell>
          <cell r="E193">
            <v>0</v>
          </cell>
          <cell r="F193">
            <v>0</v>
          </cell>
          <cell r="G193">
            <v>0</v>
          </cell>
          <cell r="H193">
            <v>0</v>
          </cell>
          <cell r="I193">
            <v>0</v>
          </cell>
          <cell r="J193" t="str">
            <v>m</v>
          </cell>
        </row>
        <row r="194">
          <cell r="A194" t="str">
            <v>s/n</v>
          </cell>
          <cell r="B194">
            <v>0</v>
          </cell>
          <cell r="C194" t="str">
            <v>Gabinete de encendido y protección contra descargas eléctricas</v>
          </cell>
          <cell r="D194">
            <v>0</v>
          </cell>
          <cell r="E194">
            <v>0</v>
          </cell>
          <cell r="F194">
            <v>0</v>
          </cell>
          <cell r="G194">
            <v>0</v>
          </cell>
          <cell r="H194">
            <v>0</v>
          </cell>
          <cell r="I194">
            <v>0</v>
          </cell>
          <cell r="J194" t="str">
            <v>pza</v>
          </cell>
        </row>
        <row r="195">
          <cell r="A195">
            <v>0</v>
          </cell>
          <cell r="B195">
            <v>0</v>
          </cell>
          <cell r="C195" t="str">
            <v>Cable acero inoxidable 3/16" para asegurar la bomba dentro del pozo</v>
          </cell>
          <cell r="D195">
            <v>0</v>
          </cell>
          <cell r="E195">
            <v>0</v>
          </cell>
          <cell r="F195">
            <v>0</v>
          </cell>
          <cell r="G195">
            <v>0</v>
          </cell>
          <cell r="H195">
            <v>0</v>
          </cell>
          <cell r="I195">
            <v>0</v>
          </cell>
          <cell r="J195" t="str">
            <v>m</v>
          </cell>
        </row>
        <row r="196">
          <cell r="A196">
            <v>0</v>
          </cell>
          <cell r="B196">
            <v>0</v>
          </cell>
          <cell r="C196" t="str">
            <v>Cable trifásico 3x10 AWG p/ Bomba Sumergible</v>
          </cell>
          <cell r="D196">
            <v>0</v>
          </cell>
          <cell r="E196">
            <v>0</v>
          </cell>
          <cell r="F196">
            <v>0</v>
          </cell>
          <cell r="G196">
            <v>0</v>
          </cell>
          <cell r="H196">
            <v>0</v>
          </cell>
          <cell r="I196">
            <v>0</v>
          </cell>
          <cell r="J196" t="str">
            <v>m</v>
          </cell>
        </row>
        <row r="197">
          <cell r="A197">
            <v>0</v>
          </cell>
          <cell r="B197">
            <v>0</v>
          </cell>
          <cell r="C197" t="str">
            <v>Cable trifásico 3x8 AWG p/ Bomba Sumergible</v>
          </cell>
          <cell r="D197">
            <v>0</v>
          </cell>
          <cell r="E197">
            <v>0</v>
          </cell>
          <cell r="F197">
            <v>0</v>
          </cell>
          <cell r="G197">
            <v>0</v>
          </cell>
          <cell r="H197">
            <v>0</v>
          </cell>
          <cell r="I197">
            <v>0</v>
          </cell>
          <cell r="J197" t="str">
            <v>m</v>
          </cell>
        </row>
        <row r="198">
          <cell r="A198">
            <v>0</v>
          </cell>
          <cell r="B198">
            <v>0</v>
          </cell>
          <cell r="C198" t="str">
            <v>Juego de Cable y Accesorios para integrar sistema de bomebo superficial DP: Interruptor de encendido en gabinete intemperie, varilla de tierra de 1/2" con conectores mecánicos, alambre para aterrizar cal. 8 AWG, cable cal 12 AWG para interconectar módulos solares, terminales de compresión, tornillería inoxidable, etc.</v>
          </cell>
          <cell r="D198">
            <v>35</v>
          </cell>
          <cell r="E198">
            <v>0</v>
          </cell>
          <cell r="F198">
            <v>0</v>
          </cell>
          <cell r="G198">
            <v>0</v>
          </cell>
          <cell r="H198">
            <v>0</v>
          </cell>
          <cell r="I198">
            <v>0</v>
          </cell>
          <cell r="J198" t="str">
            <v>pza</v>
          </cell>
        </row>
        <row r="199">
          <cell r="A199" t="str">
            <v>ACC-SSP</v>
          </cell>
          <cell r="B199">
            <v>0</v>
          </cell>
          <cell r="C199" t="str">
            <v>Riel de acero galvanizado de 3" para sujetar la bomba en el brocal del pozo, 2 metros</v>
          </cell>
          <cell r="D199">
            <v>4.5197740112994351</v>
          </cell>
          <cell r="E199">
            <v>0</v>
          </cell>
          <cell r="F199">
            <v>0</v>
          </cell>
          <cell r="G199">
            <v>0</v>
          </cell>
          <cell r="H199">
            <v>0</v>
          </cell>
          <cell r="I199">
            <v>0</v>
          </cell>
          <cell r="J199" t="str">
            <v>pza</v>
          </cell>
        </row>
        <row r="200">
          <cell r="A200" t="str">
            <v>RG3-2</v>
          </cell>
          <cell r="B200">
            <v>0</v>
          </cell>
          <cell r="C200" t="str">
            <v>Accesorios para Sistema Refrigeración</v>
          </cell>
          <cell r="D200">
            <v>0</v>
          </cell>
          <cell r="E200">
            <v>0</v>
          </cell>
          <cell r="F200">
            <v>0</v>
          </cell>
          <cell r="G200">
            <v>0</v>
          </cell>
          <cell r="H200">
            <v>0</v>
          </cell>
          <cell r="I200">
            <v>0</v>
          </cell>
          <cell r="J200">
            <v>0</v>
          </cell>
        </row>
        <row r="201">
          <cell r="A201">
            <v>0</v>
          </cell>
          <cell r="B201">
            <v>0</v>
          </cell>
          <cell r="C201" t="str">
            <v>Cable y accesorios para instalación profesional del sistema de refrigeración.</v>
          </cell>
          <cell r="D201">
            <v>10</v>
          </cell>
          <cell r="E201">
            <v>0</v>
          </cell>
          <cell r="F201">
            <v>0</v>
          </cell>
          <cell r="G201">
            <v>0</v>
          </cell>
          <cell r="H201">
            <v>0</v>
          </cell>
          <cell r="I201">
            <v>0</v>
          </cell>
          <cell r="J201" t="str">
            <v>jgo</v>
          </cell>
        </row>
        <row r="202">
          <cell r="A202" t="str">
            <v>REF-TAB</v>
          </cell>
          <cell r="B202">
            <v>500121</v>
          </cell>
          <cell r="C202" t="str">
            <v>Integración de tablero de triplay con termomagnéticos a módulo y refrigerador</v>
          </cell>
          <cell r="D202">
            <v>19.774011299435028</v>
          </cell>
          <cell r="E202">
            <v>0</v>
          </cell>
          <cell r="F202">
            <v>0</v>
          </cell>
          <cell r="G202">
            <v>0</v>
          </cell>
          <cell r="H202">
            <v>0</v>
          </cell>
          <cell r="I202">
            <v>0</v>
          </cell>
          <cell r="J202" t="str">
            <v>pza</v>
          </cell>
        </row>
        <row r="203">
          <cell r="A203" t="str">
            <v>TAB-REF</v>
          </cell>
          <cell r="B203">
            <v>0</v>
          </cell>
          <cell r="C203">
            <v>0</v>
          </cell>
          <cell r="D203">
            <v>0</v>
          </cell>
          <cell r="E203">
            <v>0</v>
          </cell>
          <cell r="F203">
            <v>0</v>
          </cell>
          <cell r="G203">
            <v>0</v>
          </cell>
          <cell r="H203">
            <v>0</v>
          </cell>
          <cell r="I203">
            <v>0</v>
          </cell>
          <cell r="J203">
            <v>0</v>
          </cell>
        </row>
      </sheetData>
      <sheetData sheetId="1">
        <row r="145">
          <cell r="D145">
            <v>0.91680983606557387</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
      <sheetName val="TARIFAS "/>
      <sheetName val="Facturacion1"/>
      <sheetName val="Facturacion2"/>
      <sheetName val="RETORNO DE INVERSION "/>
      <sheetName val="CIUDADES "/>
      <sheetName val="AMORTIZACIONES "/>
      <sheetName val="SISTEMAS "/>
    </sheetNames>
    <sheetDataSet>
      <sheetData sheetId="0" refreshError="1">
        <row r="22">
          <cell r="R22">
            <v>0</v>
          </cell>
        </row>
      </sheetData>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tables/table1.xml><?xml version="1.0" encoding="utf-8"?>
<table xmlns="http://schemas.openxmlformats.org/spreadsheetml/2006/main" id="3" name="Tabla3" displayName="Tabla3" ref="I6:K35" totalsRowShown="0" headerRowDxfId="2" headerRowCellStyle="Normal 4 2" dataCellStyle="Normal 4 2">
  <autoFilter ref="I6:K35"/>
  <tableColumns count="3">
    <tableColumn id="1" name="Costos" dataDxfId="1" dataCellStyle="Normal 4 2">
      <calculatedColumnFormula>IF(F7&gt;0,#REF!,0)</calculatedColumnFormula>
    </tableColumn>
    <tableColumn id="2" name="subtotal" dataDxfId="0" dataCellStyle="Normal 4 2">
      <calculatedColumnFormula>Tabla3[[#This Row],[Costos]]*F7</calculatedColumnFormula>
    </tableColumn>
    <tableColumn id="3" name="Columna1" dataCellStyle="Normal 4 2"/>
  </tableColumns>
  <tableStyleInfo name="TableStyleMedium26"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7" Type="http://schemas.openxmlformats.org/officeDocument/2006/relationships/ctrlProp" Target="../ctrlProps/ctrlProp4.xml"/><Relationship Id="rId2" Type="http://schemas.openxmlformats.org/officeDocument/2006/relationships/hyperlink" Target="mailto:trujillo@goldenharvest.com.mx" TargetMode="External"/><Relationship Id="rId1" Type="http://schemas.openxmlformats.org/officeDocument/2006/relationships/hyperlink" Target="http://www.goldenharvest.com.mx/" TargetMode="External"/><Relationship Id="rId6" Type="http://schemas.openxmlformats.org/officeDocument/2006/relationships/ctrlProp" Target="../ctrlProps/ctrlProp3.xml"/><Relationship Id="rId5" Type="http://schemas.openxmlformats.org/officeDocument/2006/relationships/vmlDrawing" Target="../drawings/vmlDrawing2.v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1"/>
  </sheetPr>
  <dimension ref="A1:U373"/>
  <sheetViews>
    <sheetView topLeftCell="A73" zoomScale="70" zoomScaleNormal="70" workbookViewId="0">
      <selection activeCell="J82" sqref="J82"/>
    </sheetView>
  </sheetViews>
  <sheetFormatPr baseColWidth="10" defaultColWidth="10.7109375" defaultRowHeight="18.75" outlineLevelRow="1"/>
  <cols>
    <col min="1" max="1" width="1.5703125" style="19" customWidth="1"/>
    <col min="2" max="2" width="6.7109375" style="19" customWidth="1"/>
    <col min="3" max="3" width="15.42578125" style="3" customWidth="1"/>
    <col min="4" max="4" width="12.42578125" style="19" customWidth="1"/>
    <col min="5" max="5" width="14.140625" style="397" customWidth="1"/>
    <col min="6" max="6" width="16" style="19" customWidth="1"/>
    <col min="7" max="7" width="33.7109375" style="19" customWidth="1"/>
    <col min="8" max="8" width="8.42578125" style="19" customWidth="1"/>
    <col min="9" max="9" width="14.7109375" style="19" customWidth="1"/>
    <col min="10" max="10" width="15" style="19" customWidth="1"/>
    <col min="11" max="11" width="14.42578125" style="19" customWidth="1"/>
    <col min="12" max="12" width="15.7109375" style="20" customWidth="1"/>
    <col min="13" max="13" width="19" style="235" customWidth="1"/>
    <col min="14" max="14" width="18.28515625" style="19" customWidth="1"/>
    <col min="15" max="15" width="18.7109375" style="19" customWidth="1"/>
    <col min="16" max="16" width="18.42578125" style="19" customWidth="1"/>
    <col min="17" max="17" width="13" style="19" customWidth="1"/>
    <col min="18" max="21" width="11.42578125" style="19"/>
  </cols>
  <sheetData>
    <row r="1" spans="1:21" s="19" customFormat="1" ht="71.25" customHeight="1">
      <c r="B1" s="3"/>
      <c r="C1" s="136" t="s">
        <v>451</v>
      </c>
      <c r="D1" s="137"/>
      <c r="E1" s="392"/>
      <c r="F1" s="137"/>
      <c r="G1" s="137"/>
      <c r="H1" s="137"/>
      <c r="I1" s="137"/>
      <c r="J1" s="137"/>
      <c r="K1" s="137"/>
      <c r="L1" s="137"/>
      <c r="M1" s="224"/>
    </row>
    <row r="2" spans="1:21" ht="348">
      <c r="A2" s="236" t="s">
        <v>541</v>
      </c>
      <c r="B2" s="300"/>
      <c r="C2" s="132" t="s">
        <v>429</v>
      </c>
      <c r="D2" s="132" t="s">
        <v>429</v>
      </c>
      <c r="E2" s="393" t="s">
        <v>429</v>
      </c>
      <c r="F2" s="330" t="s">
        <v>145</v>
      </c>
      <c r="G2" s="330" t="s">
        <v>657</v>
      </c>
      <c r="H2" s="132" t="s">
        <v>429</v>
      </c>
      <c r="I2" s="330" t="s">
        <v>659</v>
      </c>
      <c r="J2" s="132" t="s">
        <v>429</v>
      </c>
      <c r="K2" s="132" t="s">
        <v>452</v>
      </c>
      <c r="L2" s="330" t="s">
        <v>658</v>
      </c>
      <c r="M2" s="225" t="s">
        <v>482</v>
      </c>
      <c r="N2" s="133"/>
      <c r="O2" s="134"/>
      <c r="P2" s="134"/>
      <c r="Q2" s="134"/>
      <c r="R2" s="134"/>
      <c r="S2" s="134"/>
      <c r="T2" s="134"/>
      <c r="U2" s="134"/>
    </row>
    <row r="3" spans="1:21" ht="35.1" customHeight="1" outlineLevel="1">
      <c r="A3" s="426">
        <v>260</v>
      </c>
      <c r="B3" s="426" t="s">
        <v>603</v>
      </c>
      <c r="C3" s="427" t="s">
        <v>429</v>
      </c>
      <c r="D3" s="428" t="s">
        <v>568</v>
      </c>
      <c r="E3" s="429">
        <v>270</v>
      </c>
      <c r="F3" s="254" t="s">
        <v>656</v>
      </c>
      <c r="G3" s="387" t="s">
        <v>703</v>
      </c>
      <c r="H3" s="388">
        <v>1</v>
      </c>
      <c r="I3" s="254">
        <f>K3*20</f>
        <v>5160</v>
      </c>
      <c r="J3" s="117">
        <f>I3*1.16</f>
        <v>5985.5999999999995</v>
      </c>
      <c r="K3" s="389">
        <f>L3*200%</f>
        <v>258</v>
      </c>
      <c r="L3" s="390">
        <v>129</v>
      </c>
      <c r="M3" s="226">
        <f>L3*20</f>
        <v>2580</v>
      </c>
      <c r="N3" s="19" t="s">
        <v>751</v>
      </c>
      <c r="U3" s="19" t="s">
        <v>542</v>
      </c>
    </row>
    <row r="4" spans="1:21" s="19" customFormat="1" ht="35.1" customHeight="1" outlineLevel="1">
      <c r="A4" s="426"/>
      <c r="B4" s="426" t="s">
        <v>603</v>
      </c>
      <c r="C4" s="427" t="s">
        <v>429</v>
      </c>
      <c r="D4" s="428" t="s">
        <v>568</v>
      </c>
      <c r="E4" s="429">
        <v>330</v>
      </c>
      <c r="F4" s="391" t="s">
        <v>750</v>
      </c>
      <c r="G4" s="387" t="s">
        <v>666</v>
      </c>
      <c r="H4" s="388">
        <v>1</v>
      </c>
      <c r="I4" s="254">
        <f t="shared" ref="I4:I13" si="0">K4*20</f>
        <v>6000</v>
      </c>
      <c r="J4" s="117">
        <f t="shared" ref="J4:J75" si="1">I4*1.16</f>
        <v>6959.9999999999991</v>
      </c>
      <c r="K4" s="389">
        <f t="shared" ref="K4:K5" si="2">L4*200%</f>
        <v>300</v>
      </c>
      <c r="L4" s="390">
        <v>150</v>
      </c>
      <c r="M4" s="226">
        <f t="shared" ref="M4:M67" si="3">L4*20</f>
        <v>3000</v>
      </c>
      <c r="N4" s="19" t="s">
        <v>751</v>
      </c>
    </row>
    <row r="5" spans="1:21" s="19" customFormat="1" ht="35.1" customHeight="1" outlineLevel="1">
      <c r="A5" s="426">
        <v>260</v>
      </c>
      <c r="B5" s="426" t="s">
        <v>603</v>
      </c>
      <c r="C5" s="427" t="s">
        <v>429</v>
      </c>
      <c r="D5" s="428" t="s">
        <v>747</v>
      </c>
      <c r="E5" s="429">
        <v>250</v>
      </c>
      <c r="F5" s="254" t="s">
        <v>748</v>
      </c>
      <c r="G5" s="387" t="s">
        <v>749</v>
      </c>
      <c r="H5" s="388">
        <v>3</v>
      </c>
      <c r="I5" s="254">
        <f t="shared" si="0"/>
        <v>4000</v>
      </c>
      <c r="J5" s="117">
        <f t="shared" si="1"/>
        <v>4640</v>
      </c>
      <c r="K5" s="389">
        <f t="shared" si="2"/>
        <v>200</v>
      </c>
      <c r="L5" s="390">
        <v>100</v>
      </c>
      <c r="M5" s="226">
        <f t="shared" si="3"/>
        <v>2000</v>
      </c>
      <c r="N5" s="19" t="s">
        <v>751</v>
      </c>
      <c r="U5" s="19" t="s">
        <v>542</v>
      </c>
    </row>
    <row r="6" spans="1:21" s="19" customFormat="1" ht="35.1" customHeight="1" outlineLevel="1">
      <c r="A6" s="426"/>
      <c r="B6" s="426" t="s">
        <v>603</v>
      </c>
      <c r="C6" s="427" t="s">
        <v>429</v>
      </c>
      <c r="D6" s="428" t="s">
        <v>568</v>
      </c>
      <c r="E6" s="429">
        <v>260</v>
      </c>
      <c r="F6" s="254" t="s">
        <v>602</v>
      </c>
      <c r="G6" s="387" t="s">
        <v>538</v>
      </c>
      <c r="H6" s="388">
        <v>1</v>
      </c>
      <c r="I6" s="254">
        <f t="shared" si="0"/>
        <v>5160</v>
      </c>
      <c r="J6" s="117">
        <f t="shared" si="1"/>
        <v>5985.5999999999995</v>
      </c>
      <c r="K6" s="389">
        <f>L6*200%</f>
        <v>258</v>
      </c>
      <c r="L6" s="390">
        <v>129</v>
      </c>
      <c r="M6" s="226">
        <f t="shared" si="3"/>
        <v>2580</v>
      </c>
      <c r="N6" s="19" t="s">
        <v>751</v>
      </c>
    </row>
    <row r="7" spans="1:21" s="121" customFormat="1" ht="34.9" customHeight="1" outlineLevel="1">
      <c r="A7" s="426">
        <v>130</v>
      </c>
      <c r="B7" s="426" t="s">
        <v>603</v>
      </c>
      <c r="C7" s="427" t="s">
        <v>429</v>
      </c>
      <c r="D7" s="428" t="s">
        <v>262</v>
      </c>
      <c r="E7" s="429">
        <v>130</v>
      </c>
      <c r="F7" s="254" t="s">
        <v>458</v>
      </c>
      <c r="G7" s="387" t="s">
        <v>712</v>
      </c>
      <c r="H7" s="388">
        <v>2</v>
      </c>
      <c r="I7" s="254">
        <f t="shared" si="0"/>
        <v>3465</v>
      </c>
      <c r="J7" s="117">
        <f t="shared" si="1"/>
        <v>4019.3999999999996</v>
      </c>
      <c r="K7" s="389">
        <f>L7*225%</f>
        <v>173.25</v>
      </c>
      <c r="L7" s="390">
        <v>77</v>
      </c>
      <c r="M7" s="226">
        <f t="shared" si="3"/>
        <v>1540</v>
      </c>
      <c r="N7" s="19" t="s">
        <v>751</v>
      </c>
    </row>
    <row r="8" spans="1:21" s="121" customFormat="1" ht="34.9" customHeight="1" outlineLevel="1">
      <c r="A8" s="426">
        <v>131</v>
      </c>
      <c r="B8" s="426" t="s">
        <v>603</v>
      </c>
      <c r="C8" s="427" t="s">
        <v>429</v>
      </c>
      <c r="D8" s="428" t="s">
        <v>667</v>
      </c>
      <c r="E8" s="429">
        <v>150</v>
      </c>
      <c r="F8" s="254" t="s">
        <v>668</v>
      </c>
      <c r="G8" s="387" t="s">
        <v>711</v>
      </c>
      <c r="H8" s="388">
        <v>3</v>
      </c>
      <c r="I8" s="254">
        <f t="shared" si="0"/>
        <v>4365</v>
      </c>
      <c r="J8" s="117">
        <f t="shared" si="1"/>
        <v>5063.3999999999996</v>
      </c>
      <c r="K8" s="389">
        <f t="shared" ref="K8:K13" si="4">L8*225%</f>
        <v>218.25</v>
      </c>
      <c r="L8" s="390">
        <v>97</v>
      </c>
      <c r="M8" s="226">
        <f t="shared" si="3"/>
        <v>1940</v>
      </c>
      <c r="N8" s="19" t="s">
        <v>751</v>
      </c>
    </row>
    <row r="9" spans="1:21" ht="35.1" customHeight="1" outlineLevel="1">
      <c r="A9" s="426">
        <v>100</v>
      </c>
      <c r="B9" s="426" t="s">
        <v>603</v>
      </c>
      <c r="C9" s="427" t="s">
        <v>429</v>
      </c>
      <c r="D9" s="428" t="s">
        <v>261</v>
      </c>
      <c r="E9" s="429">
        <v>100</v>
      </c>
      <c r="F9" s="254" t="s">
        <v>308</v>
      </c>
      <c r="G9" s="387" t="s">
        <v>713</v>
      </c>
      <c r="H9" s="388">
        <v>1</v>
      </c>
      <c r="I9" s="254">
        <f t="shared" si="0"/>
        <v>3465</v>
      </c>
      <c r="J9" s="117">
        <f t="shared" si="1"/>
        <v>4019.3999999999996</v>
      </c>
      <c r="K9" s="389">
        <f t="shared" si="4"/>
        <v>173.25</v>
      </c>
      <c r="L9" s="390">
        <v>77</v>
      </c>
      <c r="M9" s="226">
        <f t="shared" si="3"/>
        <v>1540</v>
      </c>
      <c r="N9" s="19" t="s">
        <v>751</v>
      </c>
      <c r="O9" s="3"/>
      <c r="P9" s="3"/>
      <c r="Q9" s="3"/>
      <c r="R9" s="3"/>
      <c r="S9" s="3"/>
      <c r="T9" s="3"/>
      <c r="U9" s="3"/>
    </row>
    <row r="10" spans="1:21" ht="35.1" customHeight="1" outlineLevel="1">
      <c r="A10" s="426">
        <v>80</v>
      </c>
      <c r="B10" s="426" t="s">
        <v>603</v>
      </c>
      <c r="C10" s="427" t="s">
        <v>429</v>
      </c>
      <c r="D10" s="428" t="s">
        <v>261</v>
      </c>
      <c r="E10" s="429">
        <v>80</v>
      </c>
      <c r="F10" s="254" t="s">
        <v>309</v>
      </c>
      <c r="G10" s="387" t="s">
        <v>714</v>
      </c>
      <c r="H10" s="388">
        <v>1</v>
      </c>
      <c r="I10" s="254">
        <f t="shared" si="0"/>
        <v>3105</v>
      </c>
      <c r="J10" s="117">
        <f t="shared" si="1"/>
        <v>3601.7999999999997</v>
      </c>
      <c r="K10" s="389">
        <f t="shared" si="4"/>
        <v>155.25</v>
      </c>
      <c r="L10" s="390">
        <v>69</v>
      </c>
      <c r="M10" s="226">
        <f t="shared" si="3"/>
        <v>1380</v>
      </c>
      <c r="N10" s="19" t="s">
        <v>751</v>
      </c>
    </row>
    <row r="11" spans="1:21" ht="35.1" customHeight="1" outlineLevel="1">
      <c r="A11" s="426">
        <v>50</v>
      </c>
      <c r="B11" s="426" t="s">
        <v>603</v>
      </c>
      <c r="C11" s="427" t="s">
        <v>429</v>
      </c>
      <c r="D11" s="428" t="s">
        <v>261</v>
      </c>
      <c r="E11" s="429">
        <v>50</v>
      </c>
      <c r="F11" s="254" t="s">
        <v>310</v>
      </c>
      <c r="G11" s="387" t="s">
        <v>715</v>
      </c>
      <c r="H11" s="388">
        <v>1</v>
      </c>
      <c r="I11" s="254">
        <f t="shared" si="0"/>
        <v>2160</v>
      </c>
      <c r="J11" s="117">
        <f t="shared" si="1"/>
        <v>2505.6</v>
      </c>
      <c r="K11" s="389">
        <f t="shared" si="4"/>
        <v>108</v>
      </c>
      <c r="L11" s="390">
        <v>48</v>
      </c>
      <c r="M11" s="226">
        <f t="shared" si="3"/>
        <v>960</v>
      </c>
      <c r="N11" s="19" t="s">
        <v>751</v>
      </c>
    </row>
    <row r="12" spans="1:21" ht="35.1" customHeight="1" outlineLevel="1">
      <c r="A12" s="426">
        <v>25</v>
      </c>
      <c r="B12" s="426" t="s">
        <v>603</v>
      </c>
      <c r="C12" s="427" t="s">
        <v>429</v>
      </c>
      <c r="D12" s="428" t="s">
        <v>261</v>
      </c>
      <c r="E12" s="429">
        <v>25</v>
      </c>
      <c r="F12" s="254" t="s">
        <v>311</v>
      </c>
      <c r="G12" s="387" t="s">
        <v>716</v>
      </c>
      <c r="H12" s="388">
        <v>1</v>
      </c>
      <c r="I12" s="254">
        <f t="shared" si="0"/>
        <v>1800</v>
      </c>
      <c r="J12" s="117">
        <f t="shared" si="1"/>
        <v>2088</v>
      </c>
      <c r="K12" s="389">
        <f t="shared" si="4"/>
        <v>90</v>
      </c>
      <c r="L12" s="390">
        <v>40</v>
      </c>
      <c r="M12" s="226">
        <f t="shared" si="3"/>
        <v>800</v>
      </c>
      <c r="N12" s="19" t="s">
        <v>751</v>
      </c>
      <c r="O12" s="14">
        <f>25/40</f>
        <v>0.625</v>
      </c>
      <c r="P12" s="14"/>
      <c r="Q12" s="14"/>
      <c r="R12" s="14"/>
      <c r="S12" s="14"/>
      <c r="T12" s="14"/>
      <c r="U12" s="14"/>
    </row>
    <row r="13" spans="1:21" s="19" customFormat="1" ht="35.1" customHeight="1" outlineLevel="1">
      <c r="A13" s="426">
        <v>5</v>
      </c>
      <c r="B13" s="426" t="s">
        <v>603</v>
      </c>
      <c r="C13" s="427" t="s">
        <v>429</v>
      </c>
      <c r="D13" s="428" t="s">
        <v>261</v>
      </c>
      <c r="E13" s="429">
        <v>5</v>
      </c>
      <c r="F13" s="254" t="s">
        <v>532</v>
      </c>
      <c r="G13" s="387" t="s">
        <v>717</v>
      </c>
      <c r="H13" s="388">
        <v>1</v>
      </c>
      <c r="I13" s="254">
        <f t="shared" si="0"/>
        <v>225</v>
      </c>
      <c r="J13" s="117">
        <f t="shared" si="1"/>
        <v>261</v>
      </c>
      <c r="K13" s="389">
        <f t="shared" si="4"/>
        <v>11.25</v>
      </c>
      <c r="L13" s="390">
        <v>5</v>
      </c>
      <c r="M13" s="226">
        <f t="shared" si="3"/>
        <v>100</v>
      </c>
      <c r="N13" s="19" t="s">
        <v>751</v>
      </c>
      <c r="O13" s="14">
        <f>5*2*1.16*20</f>
        <v>232</v>
      </c>
      <c r="P13" s="14"/>
      <c r="Q13" s="14"/>
      <c r="R13" s="14"/>
      <c r="S13" s="14"/>
      <c r="T13" s="14"/>
      <c r="U13" s="14"/>
    </row>
    <row r="14" spans="1:21" s="311" customFormat="1" ht="35.1" customHeight="1" outlineLevel="1">
      <c r="A14" s="426"/>
      <c r="B14" s="426"/>
      <c r="C14" s="427"/>
      <c r="D14" s="428"/>
      <c r="E14" s="430" t="s">
        <v>637</v>
      </c>
      <c r="F14" s="254"/>
      <c r="G14" s="387"/>
      <c r="H14" s="388"/>
      <c r="I14" s="254"/>
      <c r="J14" s="117"/>
      <c r="K14" s="389"/>
      <c r="L14" s="390"/>
      <c r="M14" s="226">
        <f t="shared" si="3"/>
        <v>0</v>
      </c>
      <c r="N14" s="19" t="s">
        <v>751</v>
      </c>
      <c r="O14" s="310"/>
      <c r="P14" s="310"/>
      <c r="Q14" s="310"/>
      <c r="R14" s="310"/>
      <c r="S14" s="310"/>
      <c r="T14" s="310"/>
      <c r="U14" s="310"/>
    </row>
    <row r="15" spans="1:21" ht="35.1" customHeight="1">
      <c r="A15" s="205"/>
      <c r="B15" s="426" t="s">
        <v>603</v>
      </c>
      <c r="C15" s="427" t="s">
        <v>444</v>
      </c>
      <c r="D15" s="428" t="s">
        <v>262</v>
      </c>
      <c r="E15" s="431" t="s">
        <v>155</v>
      </c>
      <c r="F15" s="254" t="s">
        <v>537</v>
      </c>
      <c r="G15" s="387" t="s">
        <v>533</v>
      </c>
      <c r="H15" s="388">
        <v>1</v>
      </c>
      <c r="I15" s="254">
        <f>K15*21</f>
        <v>787.5</v>
      </c>
      <c r="J15" s="117">
        <f t="shared" si="1"/>
        <v>913.49999999999989</v>
      </c>
      <c r="K15" s="389">
        <f>L15*2.5</f>
        <v>37.5</v>
      </c>
      <c r="L15" s="390">
        <v>15</v>
      </c>
      <c r="M15" s="226">
        <f t="shared" si="3"/>
        <v>300</v>
      </c>
      <c r="N15" s="19" t="s">
        <v>751</v>
      </c>
      <c r="O15" s="19" t="s">
        <v>439</v>
      </c>
    </row>
    <row r="16" spans="1:21" s="121" customFormat="1" ht="35.1" customHeight="1" outlineLevel="1">
      <c r="A16" s="205"/>
      <c r="B16" s="426" t="s">
        <v>603</v>
      </c>
      <c r="C16" s="427" t="s">
        <v>444</v>
      </c>
      <c r="D16" s="428" t="s">
        <v>262</v>
      </c>
      <c r="E16" s="431" t="s">
        <v>156</v>
      </c>
      <c r="F16" s="254" t="s">
        <v>535</v>
      </c>
      <c r="G16" s="387" t="s">
        <v>534</v>
      </c>
      <c r="H16" s="388">
        <v>1</v>
      </c>
      <c r="I16" s="254">
        <f>K16*21</f>
        <v>997.5</v>
      </c>
      <c r="J16" s="117">
        <f t="shared" si="1"/>
        <v>1157.0999999999999</v>
      </c>
      <c r="K16" s="389">
        <f t="shared" ref="K16:K21" si="5">L16*2.5</f>
        <v>47.5</v>
      </c>
      <c r="L16" s="390">
        <v>19</v>
      </c>
      <c r="M16" s="226">
        <f t="shared" si="3"/>
        <v>380</v>
      </c>
      <c r="N16" s="19" t="s">
        <v>751</v>
      </c>
      <c r="O16" s="207">
        <f>L16*3</f>
        <v>57</v>
      </c>
    </row>
    <row r="17" spans="1:21" ht="35.1" customHeight="1" outlineLevel="1">
      <c r="A17" s="205"/>
      <c r="B17" s="426" t="s">
        <v>603</v>
      </c>
      <c r="C17" s="427" t="s">
        <v>444</v>
      </c>
      <c r="D17" s="428" t="s">
        <v>262</v>
      </c>
      <c r="E17" s="431" t="s">
        <v>157</v>
      </c>
      <c r="F17" s="254" t="s">
        <v>483</v>
      </c>
      <c r="G17" s="387" t="s">
        <v>95</v>
      </c>
      <c r="H17" s="388">
        <v>1</v>
      </c>
      <c r="I17" s="254">
        <f t="shared" ref="I17:I61" si="6">K17*21</f>
        <v>1627.5</v>
      </c>
      <c r="J17" s="117">
        <f t="shared" si="1"/>
        <v>1887.8999999999999</v>
      </c>
      <c r="K17" s="389">
        <f t="shared" si="5"/>
        <v>77.5</v>
      </c>
      <c r="L17" s="390">
        <v>31</v>
      </c>
      <c r="M17" s="226">
        <f t="shared" si="3"/>
        <v>620</v>
      </c>
      <c r="N17" s="19" t="s">
        <v>751</v>
      </c>
    </row>
    <row r="18" spans="1:21" ht="35.1" customHeight="1" outlineLevel="1">
      <c r="A18" s="205"/>
      <c r="B18" s="426" t="s">
        <v>603</v>
      </c>
      <c r="C18" s="427" t="s">
        <v>444</v>
      </c>
      <c r="D18" s="428" t="s">
        <v>262</v>
      </c>
      <c r="E18" s="431" t="s">
        <v>158</v>
      </c>
      <c r="F18" s="254" t="s">
        <v>484</v>
      </c>
      <c r="G18" s="387" t="s">
        <v>96</v>
      </c>
      <c r="H18" s="388">
        <v>1</v>
      </c>
      <c r="I18" s="254">
        <f t="shared" si="6"/>
        <v>1934.625</v>
      </c>
      <c r="J18" s="117">
        <f t="shared" si="1"/>
        <v>2244.165</v>
      </c>
      <c r="K18" s="389">
        <f>L18*2.5</f>
        <v>92.125</v>
      </c>
      <c r="L18" s="390">
        <v>36.85</v>
      </c>
      <c r="M18" s="226">
        <f t="shared" si="3"/>
        <v>737</v>
      </c>
      <c r="N18" s="19" t="s">
        <v>751</v>
      </c>
    </row>
    <row r="19" spans="1:21" ht="35.1" customHeight="1" outlineLevel="1">
      <c r="A19" s="205"/>
      <c r="B19" s="426" t="s">
        <v>603</v>
      </c>
      <c r="C19" s="427" t="s">
        <v>444</v>
      </c>
      <c r="D19" s="428" t="s">
        <v>262</v>
      </c>
      <c r="E19" s="431" t="s">
        <v>159</v>
      </c>
      <c r="F19" s="254" t="s">
        <v>485</v>
      </c>
      <c r="G19" s="387" t="s">
        <v>97</v>
      </c>
      <c r="H19" s="388">
        <v>1</v>
      </c>
      <c r="I19" s="254">
        <f t="shared" si="6"/>
        <v>2242.7999999999997</v>
      </c>
      <c r="J19" s="117">
        <f t="shared" si="1"/>
        <v>2601.6479999999997</v>
      </c>
      <c r="K19" s="389">
        <f t="shared" si="5"/>
        <v>106.8</v>
      </c>
      <c r="L19" s="390">
        <v>42.72</v>
      </c>
      <c r="M19" s="226">
        <f t="shared" si="3"/>
        <v>854.4</v>
      </c>
      <c r="N19" s="19" t="s">
        <v>751</v>
      </c>
    </row>
    <row r="20" spans="1:21" ht="35.1" customHeight="1" outlineLevel="1">
      <c r="A20" s="205"/>
      <c r="B20" s="426" t="s">
        <v>603</v>
      </c>
      <c r="C20" s="427" t="s">
        <v>444</v>
      </c>
      <c r="D20" s="428" t="s">
        <v>262</v>
      </c>
      <c r="E20" s="431" t="s">
        <v>160</v>
      </c>
      <c r="F20" s="254" t="s">
        <v>486</v>
      </c>
      <c r="G20" s="387" t="s">
        <v>98</v>
      </c>
      <c r="H20" s="388">
        <v>1</v>
      </c>
      <c r="I20" s="254">
        <f t="shared" si="6"/>
        <v>4235.1750000000002</v>
      </c>
      <c r="J20" s="117">
        <f t="shared" si="1"/>
        <v>4912.8029999999999</v>
      </c>
      <c r="K20" s="389">
        <f t="shared" si="5"/>
        <v>201.67500000000001</v>
      </c>
      <c r="L20" s="390">
        <v>80.67</v>
      </c>
      <c r="M20" s="226">
        <f t="shared" si="3"/>
        <v>1613.4</v>
      </c>
      <c r="N20" s="19" t="s">
        <v>751</v>
      </c>
    </row>
    <row r="21" spans="1:21" ht="35.1" customHeight="1" outlineLevel="1">
      <c r="A21" s="205"/>
      <c r="B21" s="426" t="s">
        <v>603</v>
      </c>
      <c r="C21" s="427" t="s">
        <v>444</v>
      </c>
      <c r="D21" s="428" t="s">
        <v>262</v>
      </c>
      <c r="E21" s="431" t="s">
        <v>161</v>
      </c>
      <c r="F21" s="254" t="s">
        <v>487</v>
      </c>
      <c r="G21" s="387" t="s">
        <v>99</v>
      </c>
      <c r="H21" s="388">
        <v>1</v>
      </c>
      <c r="I21" s="254">
        <f t="shared" si="6"/>
        <v>4716.0749999999998</v>
      </c>
      <c r="J21" s="117">
        <f t="shared" si="1"/>
        <v>5470.646999999999</v>
      </c>
      <c r="K21" s="389">
        <f t="shared" si="5"/>
        <v>224.57499999999999</v>
      </c>
      <c r="L21" s="390">
        <v>89.83</v>
      </c>
      <c r="M21" s="226">
        <f t="shared" si="3"/>
        <v>1796.6</v>
      </c>
      <c r="N21" s="19" t="s">
        <v>751</v>
      </c>
    </row>
    <row r="22" spans="1:21" ht="35.1" customHeight="1" outlineLevel="1">
      <c r="A22" s="205"/>
      <c r="B22" s="426" t="s">
        <v>603</v>
      </c>
      <c r="C22" s="427" t="s">
        <v>444</v>
      </c>
      <c r="D22" s="428" t="s">
        <v>262</v>
      </c>
      <c r="E22" s="431" t="s">
        <v>162</v>
      </c>
      <c r="F22" s="254" t="s">
        <v>488</v>
      </c>
      <c r="G22" s="387" t="s">
        <v>100</v>
      </c>
      <c r="H22" s="388">
        <v>1</v>
      </c>
      <c r="I22" s="254">
        <f t="shared" si="6"/>
        <v>5582.3249999999998</v>
      </c>
      <c r="J22" s="117">
        <f t="shared" si="1"/>
        <v>6475.4969999999994</v>
      </c>
      <c r="K22" s="389">
        <f>L22*2.5</f>
        <v>265.82499999999999</v>
      </c>
      <c r="L22" s="390">
        <v>106.33</v>
      </c>
      <c r="M22" s="226">
        <f t="shared" si="3"/>
        <v>2126.6</v>
      </c>
      <c r="N22" s="19" t="s">
        <v>751</v>
      </c>
    </row>
    <row r="23" spans="1:21" ht="35.1" customHeight="1" outlineLevel="1">
      <c r="A23" s="205"/>
      <c r="B23" s="426" t="s">
        <v>603</v>
      </c>
      <c r="C23" s="427" t="s">
        <v>444</v>
      </c>
      <c r="D23" s="428" t="s">
        <v>263</v>
      </c>
      <c r="E23" s="431" t="s">
        <v>163</v>
      </c>
      <c r="F23" s="254" t="s">
        <v>163</v>
      </c>
      <c r="G23" s="387" t="s">
        <v>60</v>
      </c>
      <c r="H23" s="388">
        <v>1</v>
      </c>
      <c r="I23" s="254">
        <f t="shared" si="6"/>
        <v>1506.75</v>
      </c>
      <c r="J23" s="117">
        <f t="shared" si="1"/>
        <v>1747.83</v>
      </c>
      <c r="K23" s="389">
        <f>L23*1.75</f>
        <v>71.75</v>
      </c>
      <c r="L23" s="390">
        <v>41</v>
      </c>
      <c r="M23" s="226">
        <f t="shared" si="3"/>
        <v>820</v>
      </c>
      <c r="N23" s="19" t="s">
        <v>751</v>
      </c>
      <c r="O23"/>
      <c r="P23" s="3"/>
      <c r="Q23" s="3"/>
      <c r="R23" s="3"/>
      <c r="S23" s="3"/>
      <c r="T23" s="3"/>
      <c r="U23" s="3"/>
    </row>
    <row r="24" spans="1:21" ht="35.1" customHeight="1" outlineLevel="1">
      <c r="A24" s="205"/>
      <c r="B24" s="426" t="s">
        <v>603</v>
      </c>
      <c r="C24" s="427" t="s">
        <v>444</v>
      </c>
      <c r="D24" s="428" t="s">
        <v>263</v>
      </c>
      <c r="E24" s="431" t="s">
        <v>164</v>
      </c>
      <c r="F24" s="254" t="s">
        <v>164</v>
      </c>
      <c r="G24" s="387" t="s">
        <v>61</v>
      </c>
      <c r="H24" s="388">
        <v>1</v>
      </c>
      <c r="I24" s="254">
        <f t="shared" si="6"/>
        <v>1506.75</v>
      </c>
      <c r="J24" s="117">
        <f t="shared" si="1"/>
        <v>1747.83</v>
      </c>
      <c r="K24" s="389">
        <f t="shared" ref="K24:K35" si="7">L24*1.75</f>
        <v>71.75</v>
      </c>
      <c r="L24" s="390">
        <v>41</v>
      </c>
      <c r="M24" s="226">
        <f t="shared" si="3"/>
        <v>820</v>
      </c>
      <c r="N24" s="19" t="s">
        <v>751</v>
      </c>
      <c r="O24"/>
    </row>
    <row r="25" spans="1:21" ht="35.1" customHeight="1" outlineLevel="1">
      <c r="A25" s="205"/>
      <c r="B25" s="426" t="s">
        <v>603</v>
      </c>
      <c r="C25" s="427" t="s">
        <v>444</v>
      </c>
      <c r="D25" s="428" t="s">
        <v>263</v>
      </c>
      <c r="E25" s="431" t="s">
        <v>165</v>
      </c>
      <c r="F25" s="254" t="s">
        <v>165</v>
      </c>
      <c r="G25" s="387" t="s">
        <v>62</v>
      </c>
      <c r="H25" s="388">
        <v>1</v>
      </c>
      <c r="I25" s="254">
        <f t="shared" si="6"/>
        <v>1617</v>
      </c>
      <c r="J25" s="117">
        <f t="shared" si="1"/>
        <v>1875.7199999999998</v>
      </c>
      <c r="K25" s="389">
        <f t="shared" si="7"/>
        <v>77</v>
      </c>
      <c r="L25" s="390">
        <v>44</v>
      </c>
      <c r="M25" s="226">
        <f t="shared" si="3"/>
        <v>880</v>
      </c>
      <c r="N25" s="19" t="s">
        <v>751</v>
      </c>
      <c r="O25"/>
    </row>
    <row r="26" spans="1:21" ht="35.1" customHeight="1" outlineLevel="1">
      <c r="A26" s="205"/>
      <c r="B26" s="426" t="s">
        <v>603</v>
      </c>
      <c r="C26" s="427" t="s">
        <v>444</v>
      </c>
      <c r="D26" s="428" t="s">
        <v>263</v>
      </c>
      <c r="E26" s="431" t="s">
        <v>166</v>
      </c>
      <c r="F26" s="254" t="s">
        <v>166</v>
      </c>
      <c r="G26" s="387" t="s">
        <v>63</v>
      </c>
      <c r="H26" s="388">
        <v>1</v>
      </c>
      <c r="I26" s="254">
        <f t="shared" si="6"/>
        <v>1727.25</v>
      </c>
      <c r="J26" s="117">
        <f t="shared" si="1"/>
        <v>2003.61</v>
      </c>
      <c r="K26" s="389">
        <f t="shared" si="7"/>
        <v>82.25</v>
      </c>
      <c r="L26" s="390">
        <v>47</v>
      </c>
      <c r="M26" s="226">
        <f t="shared" si="3"/>
        <v>940</v>
      </c>
      <c r="N26" s="19" t="s">
        <v>751</v>
      </c>
      <c r="O26"/>
    </row>
    <row r="27" spans="1:21" ht="35.1" customHeight="1" outlineLevel="1">
      <c r="A27" s="205"/>
      <c r="B27" s="426" t="s">
        <v>603</v>
      </c>
      <c r="C27" s="427" t="s">
        <v>444</v>
      </c>
      <c r="D27" s="428" t="s">
        <v>263</v>
      </c>
      <c r="E27" s="431" t="s">
        <v>167</v>
      </c>
      <c r="F27" s="254" t="s">
        <v>167</v>
      </c>
      <c r="G27" s="387" t="s">
        <v>88</v>
      </c>
      <c r="H27" s="388">
        <v>1</v>
      </c>
      <c r="I27" s="254">
        <f t="shared" si="6"/>
        <v>1212.75</v>
      </c>
      <c r="J27" s="117">
        <f t="shared" si="1"/>
        <v>1406.79</v>
      </c>
      <c r="K27" s="389">
        <f t="shared" si="7"/>
        <v>57.75</v>
      </c>
      <c r="L27" s="390">
        <v>33</v>
      </c>
      <c r="M27" s="226">
        <f t="shared" si="3"/>
        <v>660</v>
      </c>
      <c r="N27" s="19" t="s">
        <v>751</v>
      </c>
      <c r="O27"/>
    </row>
    <row r="28" spans="1:21" ht="35.1" customHeight="1" outlineLevel="1">
      <c r="A28" s="205"/>
      <c r="B28" s="426" t="s">
        <v>603</v>
      </c>
      <c r="C28" s="427" t="s">
        <v>444</v>
      </c>
      <c r="D28" s="428" t="s">
        <v>263</v>
      </c>
      <c r="E28" s="431" t="s">
        <v>168</v>
      </c>
      <c r="F28" s="254" t="s">
        <v>168</v>
      </c>
      <c r="G28" s="387" t="s">
        <v>65</v>
      </c>
      <c r="H28" s="388">
        <v>1</v>
      </c>
      <c r="I28" s="254">
        <f t="shared" si="6"/>
        <v>1727.25</v>
      </c>
      <c r="J28" s="117">
        <f t="shared" si="1"/>
        <v>2003.61</v>
      </c>
      <c r="K28" s="389">
        <f t="shared" si="7"/>
        <v>82.25</v>
      </c>
      <c r="L28" s="390">
        <v>47</v>
      </c>
      <c r="M28" s="226">
        <f t="shared" si="3"/>
        <v>940</v>
      </c>
      <c r="N28" s="19" t="s">
        <v>751</v>
      </c>
      <c r="O28"/>
    </row>
    <row r="29" spans="1:21" ht="35.1" customHeight="1" outlineLevel="1">
      <c r="A29" s="205"/>
      <c r="B29" s="426" t="s">
        <v>603</v>
      </c>
      <c r="C29" s="427" t="s">
        <v>444</v>
      </c>
      <c r="D29" s="428" t="s">
        <v>263</v>
      </c>
      <c r="E29" s="431" t="s">
        <v>169</v>
      </c>
      <c r="F29" s="254" t="s">
        <v>169</v>
      </c>
      <c r="G29" s="387" t="s">
        <v>64</v>
      </c>
      <c r="H29" s="388">
        <v>1</v>
      </c>
      <c r="I29" s="254">
        <f t="shared" si="6"/>
        <v>2535.75</v>
      </c>
      <c r="J29" s="117">
        <f t="shared" si="1"/>
        <v>2941.47</v>
      </c>
      <c r="K29" s="389">
        <f t="shared" si="7"/>
        <v>120.75</v>
      </c>
      <c r="L29" s="390">
        <v>69</v>
      </c>
      <c r="M29" s="226">
        <f t="shared" si="3"/>
        <v>1380</v>
      </c>
      <c r="N29" s="19" t="s">
        <v>751</v>
      </c>
      <c r="O29"/>
    </row>
    <row r="30" spans="1:21" ht="35.1" customHeight="1" outlineLevel="1">
      <c r="A30" s="205"/>
      <c r="B30" s="426" t="s">
        <v>603</v>
      </c>
      <c r="C30" s="427" t="s">
        <v>444</v>
      </c>
      <c r="D30" s="428" t="s">
        <v>263</v>
      </c>
      <c r="E30" s="431" t="s">
        <v>170</v>
      </c>
      <c r="F30" s="254" t="s">
        <v>170</v>
      </c>
      <c r="G30" s="387" t="s">
        <v>66</v>
      </c>
      <c r="H30" s="388">
        <v>1</v>
      </c>
      <c r="I30" s="254">
        <f t="shared" si="6"/>
        <v>1947.75</v>
      </c>
      <c r="J30" s="117">
        <f t="shared" si="1"/>
        <v>2259.39</v>
      </c>
      <c r="K30" s="389">
        <f t="shared" si="7"/>
        <v>92.75</v>
      </c>
      <c r="L30" s="390">
        <v>53</v>
      </c>
      <c r="M30" s="226">
        <f t="shared" si="3"/>
        <v>1060</v>
      </c>
      <c r="N30" s="19" t="s">
        <v>751</v>
      </c>
      <c r="O30"/>
    </row>
    <row r="31" spans="1:21" ht="35.1" customHeight="1" outlineLevel="1">
      <c r="A31" s="205"/>
      <c r="B31" s="426" t="s">
        <v>603</v>
      </c>
      <c r="C31" s="427" t="s">
        <v>444</v>
      </c>
      <c r="D31" s="428" t="s">
        <v>263</v>
      </c>
      <c r="E31" s="431" t="s">
        <v>171</v>
      </c>
      <c r="F31" s="254" t="s">
        <v>171</v>
      </c>
      <c r="G31" s="387" t="s">
        <v>67</v>
      </c>
      <c r="H31" s="388">
        <v>1</v>
      </c>
      <c r="I31" s="254">
        <f t="shared" si="6"/>
        <v>2829.75</v>
      </c>
      <c r="J31" s="117">
        <f t="shared" si="1"/>
        <v>3282.5099999999998</v>
      </c>
      <c r="K31" s="389">
        <f t="shared" si="7"/>
        <v>134.75</v>
      </c>
      <c r="L31" s="390">
        <v>77</v>
      </c>
      <c r="M31" s="226">
        <f t="shared" si="3"/>
        <v>1540</v>
      </c>
      <c r="N31" s="19" t="s">
        <v>751</v>
      </c>
      <c r="O31"/>
    </row>
    <row r="32" spans="1:21" ht="35.1" customHeight="1" outlineLevel="1">
      <c r="A32" s="205"/>
      <c r="B32" s="426" t="s">
        <v>603</v>
      </c>
      <c r="C32" s="427" t="s">
        <v>444</v>
      </c>
      <c r="D32" s="428" t="s">
        <v>263</v>
      </c>
      <c r="E32" s="431" t="s">
        <v>172</v>
      </c>
      <c r="F32" s="254" t="s">
        <v>172</v>
      </c>
      <c r="G32" s="387" t="s">
        <v>68</v>
      </c>
      <c r="H32" s="388">
        <v>1</v>
      </c>
      <c r="I32" s="254">
        <f t="shared" si="6"/>
        <v>3307.5</v>
      </c>
      <c r="J32" s="117">
        <f t="shared" si="1"/>
        <v>3836.7</v>
      </c>
      <c r="K32" s="389">
        <f t="shared" si="7"/>
        <v>157.5</v>
      </c>
      <c r="L32" s="390">
        <v>90</v>
      </c>
      <c r="M32" s="226">
        <f t="shared" si="3"/>
        <v>1800</v>
      </c>
      <c r="N32" s="19" t="s">
        <v>751</v>
      </c>
      <c r="O32"/>
      <c r="P32" s="1">
        <f>L32*0.75</f>
        <v>67.5</v>
      </c>
    </row>
    <row r="33" spans="1:15" ht="35.1" customHeight="1" outlineLevel="1">
      <c r="A33" s="205"/>
      <c r="B33" s="426" t="s">
        <v>603</v>
      </c>
      <c r="C33" s="427" t="s">
        <v>444</v>
      </c>
      <c r="D33" s="428" t="s">
        <v>263</v>
      </c>
      <c r="E33" s="431" t="s">
        <v>173</v>
      </c>
      <c r="F33" s="254" t="s">
        <v>173</v>
      </c>
      <c r="G33" s="387" t="s">
        <v>69</v>
      </c>
      <c r="H33" s="388">
        <v>1</v>
      </c>
      <c r="I33" s="254">
        <f t="shared" si="6"/>
        <v>2094.75</v>
      </c>
      <c r="J33" s="117">
        <f t="shared" si="1"/>
        <v>2429.91</v>
      </c>
      <c r="K33" s="389">
        <f t="shared" si="7"/>
        <v>99.75</v>
      </c>
      <c r="L33" s="390">
        <v>57</v>
      </c>
      <c r="M33" s="226">
        <f t="shared" si="3"/>
        <v>1140</v>
      </c>
      <c r="N33" s="19" t="s">
        <v>751</v>
      </c>
      <c r="O33"/>
    </row>
    <row r="34" spans="1:15" ht="35.1" customHeight="1" outlineLevel="1">
      <c r="A34" s="205"/>
      <c r="B34" s="426" t="s">
        <v>603</v>
      </c>
      <c r="C34" s="427" t="s">
        <v>444</v>
      </c>
      <c r="D34" s="428" t="s">
        <v>263</v>
      </c>
      <c r="E34" s="431" t="s">
        <v>174</v>
      </c>
      <c r="F34" s="254" t="s">
        <v>174</v>
      </c>
      <c r="G34" s="387" t="s">
        <v>89</v>
      </c>
      <c r="H34" s="388">
        <v>1</v>
      </c>
      <c r="I34" s="254">
        <f t="shared" si="6"/>
        <v>3087</v>
      </c>
      <c r="J34" s="117">
        <f t="shared" si="1"/>
        <v>3580.9199999999996</v>
      </c>
      <c r="K34" s="389">
        <f t="shared" si="7"/>
        <v>147</v>
      </c>
      <c r="L34" s="390">
        <v>84</v>
      </c>
      <c r="M34" s="226">
        <f t="shared" si="3"/>
        <v>1680</v>
      </c>
      <c r="N34" s="19" t="s">
        <v>751</v>
      </c>
      <c r="O34"/>
    </row>
    <row r="35" spans="1:15" ht="35.1" customHeight="1" outlineLevel="1">
      <c r="A35" s="205"/>
      <c r="B35" s="426" t="s">
        <v>603</v>
      </c>
      <c r="C35" s="427" t="s">
        <v>444</v>
      </c>
      <c r="D35" s="428" t="s">
        <v>263</v>
      </c>
      <c r="E35" s="431" t="s">
        <v>175</v>
      </c>
      <c r="F35" s="254" t="s">
        <v>175</v>
      </c>
      <c r="G35" s="387" t="s">
        <v>0</v>
      </c>
      <c r="H35" s="388">
        <v>1</v>
      </c>
      <c r="I35" s="254">
        <f t="shared" si="6"/>
        <v>2609.25</v>
      </c>
      <c r="J35" s="117">
        <f t="shared" si="1"/>
        <v>3026.73</v>
      </c>
      <c r="K35" s="389">
        <f t="shared" si="7"/>
        <v>124.25</v>
      </c>
      <c r="L35" s="390">
        <v>71</v>
      </c>
      <c r="M35" s="226">
        <f t="shared" si="3"/>
        <v>1420</v>
      </c>
      <c r="N35" s="19" t="s">
        <v>751</v>
      </c>
      <c r="O35"/>
    </row>
    <row r="36" spans="1:15" ht="35.1" customHeight="1" outlineLevel="1">
      <c r="A36" s="205"/>
      <c r="B36" s="426" t="s">
        <v>603</v>
      </c>
      <c r="C36" s="427" t="s">
        <v>444</v>
      </c>
      <c r="D36" s="428" t="s">
        <v>263</v>
      </c>
      <c r="E36" s="431" t="s">
        <v>176</v>
      </c>
      <c r="F36" s="254" t="s">
        <v>769</v>
      </c>
      <c r="G36" s="387" t="s">
        <v>768</v>
      </c>
      <c r="H36" s="388">
        <v>1</v>
      </c>
      <c r="I36" s="254">
        <f t="shared" si="6"/>
        <v>7992.6</v>
      </c>
      <c r="J36" s="117">
        <f t="shared" si="1"/>
        <v>9271.4159999999993</v>
      </c>
      <c r="K36" s="389">
        <f>L36*1.73</f>
        <v>380.6</v>
      </c>
      <c r="L36" s="390">
        <v>220</v>
      </c>
      <c r="M36" s="226">
        <f t="shared" si="3"/>
        <v>4400</v>
      </c>
      <c r="N36" s="19" t="s">
        <v>751</v>
      </c>
      <c r="O36"/>
    </row>
    <row r="37" spans="1:15" ht="35.1" customHeight="1" outlineLevel="1">
      <c r="A37" s="205"/>
      <c r="B37" s="426" t="s">
        <v>603</v>
      </c>
      <c r="C37" s="427" t="s">
        <v>444</v>
      </c>
      <c r="D37" s="428" t="s">
        <v>263</v>
      </c>
      <c r="E37" s="431" t="s">
        <v>177</v>
      </c>
      <c r="F37" s="254" t="s">
        <v>177</v>
      </c>
      <c r="G37" s="387" t="s">
        <v>70</v>
      </c>
      <c r="H37" s="388">
        <v>1</v>
      </c>
      <c r="I37" s="254">
        <f t="shared" si="6"/>
        <v>7703.8499999999995</v>
      </c>
      <c r="J37" s="117">
        <f t="shared" si="1"/>
        <v>8936.4659999999985</v>
      </c>
      <c r="K37" s="389">
        <f t="shared" ref="K37" si="8">L37*1.45</f>
        <v>366.84999999999997</v>
      </c>
      <c r="L37" s="390">
        <v>253</v>
      </c>
      <c r="M37" s="226">
        <f t="shared" si="3"/>
        <v>5060</v>
      </c>
      <c r="N37" s="19" t="s">
        <v>751</v>
      </c>
      <c r="O37"/>
    </row>
    <row r="38" spans="1:15" ht="35.1" customHeight="1" outlineLevel="1">
      <c r="A38" s="205"/>
      <c r="B38" s="426" t="s">
        <v>603</v>
      </c>
      <c r="C38" s="427" t="s">
        <v>444</v>
      </c>
      <c r="D38" s="428" t="s">
        <v>263</v>
      </c>
      <c r="E38" s="431" t="s">
        <v>178</v>
      </c>
      <c r="F38" s="254" t="s">
        <v>178</v>
      </c>
      <c r="G38" s="387" t="s">
        <v>90</v>
      </c>
      <c r="H38" s="388">
        <v>1</v>
      </c>
      <c r="I38" s="254">
        <f t="shared" si="6"/>
        <v>17945.550000000003</v>
      </c>
      <c r="J38" s="117">
        <f t="shared" si="1"/>
        <v>20816.838000000003</v>
      </c>
      <c r="K38" s="389">
        <f>L38*1.35</f>
        <v>854.55000000000007</v>
      </c>
      <c r="L38" s="390">
        <v>633</v>
      </c>
      <c r="M38" s="226">
        <f t="shared" si="3"/>
        <v>12660</v>
      </c>
      <c r="N38" s="19" t="s">
        <v>751</v>
      </c>
      <c r="O38"/>
    </row>
    <row r="39" spans="1:15" ht="35.1" customHeight="1" outlineLevel="1">
      <c r="A39" s="205"/>
      <c r="B39" s="426" t="s">
        <v>603</v>
      </c>
      <c r="C39" s="427" t="s">
        <v>444</v>
      </c>
      <c r="D39" s="428" t="s">
        <v>263</v>
      </c>
      <c r="E39" s="431" t="s">
        <v>179</v>
      </c>
      <c r="F39" s="254" t="s">
        <v>179</v>
      </c>
      <c r="G39" s="387" t="s">
        <v>596</v>
      </c>
      <c r="H39" s="388">
        <v>1</v>
      </c>
      <c r="I39" s="254">
        <f t="shared" si="6"/>
        <v>19901.7</v>
      </c>
      <c r="J39" s="117">
        <f t="shared" si="1"/>
        <v>23085.971999999998</v>
      </c>
      <c r="K39" s="389">
        <f>L39*1.35</f>
        <v>947.7</v>
      </c>
      <c r="L39" s="390">
        <v>702</v>
      </c>
      <c r="M39" s="226">
        <f t="shared" si="3"/>
        <v>14040</v>
      </c>
      <c r="N39" s="19" t="s">
        <v>751</v>
      </c>
      <c r="O39"/>
    </row>
    <row r="40" spans="1:15" s="312" customFormat="1" ht="35.1" customHeight="1" outlineLevel="1">
      <c r="A40" s="205"/>
      <c r="B40" s="426"/>
      <c r="C40" s="432"/>
      <c r="D40" s="428"/>
      <c r="E40" s="431" t="s">
        <v>638</v>
      </c>
      <c r="F40" s="254"/>
      <c r="G40" s="387"/>
      <c r="H40" s="388"/>
      <c r="I40" s="254"/>
      <c r="J40" s="117"/>
      <c r="K40" s="389"/>
      <c r="L40" s="390"/>
      <c r="M40" s="226">
        <f t="shared" si="3"/>
        <v>0</v>
      </c>
      <c r="N40" s="19" t="s">
        <v>751</v>
      </c>
    </row>
    <row r="41" spans="1:15" s="319" customFormat="1" ht="35.1" customHeight="1">
      <c r="A41" s="433"/>
      <c r="B41" s="434" t="s">
        <v>603</v>
      </c>
      <c r="C41" s="435" t="s">
        <v>104</v>
      </c>
      <c r="D41" s="436" t="s">
        <v>264</v>
      </c>
      <c r="E41" s="437" t="s">
        <v>180</v>
      </c>
      <c r="F41" s="400" t="s">
        <v>766</v>
      </c>
      <c r="G41" s="401" t="s">
        <v>767</v>
      </c>
      <c r="H41" s="402">
        <v>1</v>
      </c>
      <c r="I41" s="400">
        <f>K41*20</f>
        <v>6020.3000000000011</v>
      </c>
      <c r="J41" s="117">
        <f t="shared" si="1"/>
        <v>6983.5480000000007</v>
      </c>
      <c r="K41" s="403">
        <f>L41*1.3</f>
        <v>301.01500000000004</v>
      </c>
      <c r="L41" s="404">
        <f>M41/20</f>
        <v>231.55</v>
      </c>
      <c r="M41" s="405">
        <v>4631</v>
      </c>
      <c r="N41" s="19" t="s">
        <v>751</v>
      </c>
    </row>
    <row r="42" spans="1:15" s="319" customFormat="1" ht="35.1" customHeight="1">
      <c r="A42" s="433"/>
      <c r="B42" s="434" t="s">
        <v>603</v>
      </c>
      <c r="C42" s="435"/>
      <c r="D42" s="436"/>
      <c r="E42" s="437"/>
      <c r="F42" s="400"/>
      <c r="G42" s="401"/>
      <c r="H42" s="402"/>
      <c r="I42" s="400"/>
      <c r="J42" s="117"/>
      <c r="K42" s="403"/>
      <c r="L42" s="404"/>
      <c r="M42" s="405"/>
      <c r="N42" s="19" t="s">
        <v>751</v>
      </c>
    </row>
    <row r="43" spans="1:15" s="19" customFormat="1" ht="35.1" customHeight="1">
      <c r="A43" s="205"/>
      <c r="B43" s="426" t="s">
        <v>603</v>
      </c>
      <c r="C43" s="435" t="s">
        <v>104</v>
      </c>
      <c r="D43" s="428" t="s">
        <v>264</v>
      </c>
      <c r="E43" s="438" t="s">
        <v>180</v>
      </c>
      <c r="F43" s="254" t="s">
        <v>604</v>
      </c>
      <c r="G43" s="387" t="s">
        <v>91</v>
      </c>
      <c r="H43" s="388">
        <v>3</v>
      </c>
      <c r="I43" s="254">
        <f t="shared" ref="I43:I44" si="9">K43*20</f>
        <v>2587</v>
      </c>
      <c r="J43" s="117">
        <f t="shared" si="1"/>
        <v>3000.9199999999996</v>
      </c>
      <c r="K43" s="389">
        <f>L43*1.3</f>
        <v>129.35</v>
      </c>
      <c r="L43" s="390">
        <f>M43/20</f>
        <v>99.5</v>
      </c>
      <c r="M43" s="226">
        <v>1990</v>
      </c>
      <c r="N43" s="19" t="s">
        <v>751</v>
      </c>
    </row>
    <row r="44" spans="1:15" s="19" customFormat="1" ht="35.1" customHeight="1">
      <c r="A44" s="205"/>
      <c r="B44" s="426" t="s">
        <v>603</v>
      </c>
      <c r="C44" s="435" t="s">
        <v>104</v>
      </c>
      <c r="D44" s="428" t="s">
        <v>264</v>
      </c>
      <c r="E44" s="438" t="s">
        <v>752</v>
      </c>
      <c r="F44" s="254" t="s">
        <v>606</v>
      </c>
      <c r="G44" s="387" t="s">
        <v>605</v>
      </c>
      <c r="H44" s="388">
        <v>4</v>
      </c>
      <c r="I44" s="254">
        <f t="shared" si="9"/>
        <v>2640</v>
      </c>
      <c r="J44" s="117">
        <f t="shared" si="1"/>
        <v>3062.3999999999996</v>
      </c>
      <c r="K44" s="389">
        <f>L44*1.2</f>
        <v>132</v>
      </c>
      <c r="L44" s="390">
        <f>M44/20</f>
        <v>110</v>
      </c>
      <c r="M44" s="226">
        <v>2200</v>
      </c>
      <c r="N44" s="19" t="s">
        <v>751</v>
      </c>
    </row>
    <row r="45" spans="1:15" s="121" customFormat="1" ht="35.1" customHeight="1" outlineLevel="1">
      <c r="A45" s="205"/>
      <c r="B45" s="426" t="s">
        <v>603</v>
      </c>
      <c r="C45" s="435" t="s">
        <v>104</v>
      </c>
      <c r="D45" s="428" t="s">
        <v>264</v>
      </c>
      <c r="E45" s="438" t="s">
        <v>587</v>
      </c>
      <c r="F45" s="254" t="s">
        <v>587</v>
      </c>
      <c r="G45" s="387" t="s">
        <v>588</v>
      </c>
      <c r="H45" s="388">
        <v>2</v>
      </c>
      <c r="I45" s="254">
        <f>K45*18</f>
        <v>531</v>
      </c>
      <c r="J45" s="117">
        <f t="shared" si="1"/>
        <v>615.95999999999992</v>
      </c>
      <c r="K45" s="389">
        <f>L45*1.18</f>
        <v>29.5</v>
      </c>
      <c r="L45" s="390">
        <v>25</v>
      </c>
      <c r="M45" s="226">
        <f t="shared" si="3"/>
        <v>500</v>
      </c>
      <c r="N45" s="19" t="s">
        <v>751</v>
      </c>
    </row>
    <row r="46" spans="1:15" ht="35.1" customHeight="1" outlineLevel="1">
      <c r="A46" s="205"/>
      <c r="B46" s="426" t="s">
        <v>603</v>
      </c>
      <c r="C46" s="435" t="s">
        <v>104</v>
      </c>
      <c r="D46" s="428" t="s">
        <v>263</v>
      </c>
      <c r="E46" s="438" t="s">
        <v>660</v>
      </c>
      <c r="F46" s="254" t="s">
        <v>608</v>
      </c>
      <c r="G46" s="387" t="s">
        <v>661</v>
      </c>
      <c r="H46" s="388">
        <v>1</v>
      </c>
      <c r="I46" s="254">
        <f>K46*21</f>
        <v>8026.2</v>
      </c>
      <c r="J46" s="117">
        <f t="shared" si="1"/>
        <v>9310.3919999999998</v>
      </c>
      <c r="K46" s="389">
        <f>L46*1.4</f>
        <v>382.2</v>
      </c>
      <c r="L46" s="390">
        <v>273</v>
      </c>
      <c r="M46" s="226">
        <f t="shared" si="3"/>
        <v>5460</v>
      </c>
      <c r="N46" s="19" t="s">
        <v>751</v>
      </c>
    </row>
    <row r="47" spans="1:15" s="19" customFormat="1" ht="35.1" customHeight="1" outlineLevel="1">
      <c r="A47" s="205"/>
      <c r="B47" s="426" t="s">
        <v>603</v>
      </c>
      <c r="C47" s="435" t="s">
        <v>104</v>
      </c>
      <c r="D47" s="428" t="s">
        <v>263</v>
      </c>
      <c r="E47" s="438" t="s">
        <v>181</v>
      </c>
      <c r="F47" s="254" t="s">
        <v>609</v>
      </c>
      <c r="G47" s="387" t="s">
        <v>71</v>
      </c>
      <c r="H47" s="388">
        <v>2</v>
      </c>
      <c r="I47" s="254">
        <f t="shared" ref="I47:I50" si="10">K47*21</f>
        <v>8026.2</v>
      </c>
      <c r="J47" s="117">
        <f t="shared" si="1"/>
        <v>9310.3919999999998</v>
      </c>
      <c r="K47" s="389">
        <f>L47*1.4</f>
        <v>382.2</v>
      </c>
      <c r="L47" s="390">
        <v>273</v>
      </c>
      <c r="M47" s="226">
        <f t="shared" si="3"/>
        <v>5460</v>
      </c>
      <c r="N47" s="19" t="s">
        <v>751</v>
      </c>
    </row>
    <row r="48" spans="1:15" s="19" customFormat="1" ht="35.1" customHeight="1" outlineLevel="1">
      <c r="A48" s="205"/>
      <c r="B48" s="426" t="s">
        <v>603</v>
      </c>
      <c r="C48" s="435" t="s">
        <v>104</v>
      </c>
      <c r="D48" s="428" t="s">
        <v>263</v>
      </c>
      <c r="E48" s="438" t="s">
        <v>607</v>
      </c>
      <c r="F48" s="254" t="s">
        <v>610</v>
      </c>
      <c r="G48" s="387" t="s">
        <v>71</v>
      </c>
      <c r="H48" s="388">
        <v>3</v>
      </c>
      <c r="I48" s="254">
        <f t="shared" si="10"/>
        <v>8026.2</v>
      </c>
      <c r="J48" s="117">
        <f t="shared" si="1"/>
        <v>9310.3919999999998</v>
      </c>
      <c r="K48" s="389">
        <f>L48*1.4</f>
        <v>382.2</v>
      </c>
      <c r="L48" s="390">
        <v>273</v>
      </c>
      <c r="M48" s="226">
        <f t="shared" si="3"/>
        <v>5460</v>
      </c>
      <c r="N48" s="19" t="s">
        <v>751</v>
      </c>
    </row>
    <row r="49" spans="1:21" ht="35.1" customHeight="1" outlineLevel="1">
      <c r="A49" s="205"/>
      <c r="B49" s="426" t="s">
        <v>603</v>
      </c>
      <c r="C49" s="435" t="s">
        <v>104</v>
      </c>
      <c r="D49" s="428" t="s">
        <v>263</v>
      </c>
      <c r="E49" s="438" t="s">
        <v>182</v>
      </c>
      <c r="F49" s="254" t="s">
        <v>312</v>
      </c>
      <c r="G49" s="387" t="s">
        <v>72</v>
      </c>
      <c r="H49" s="388">
        <v>1</v>
      </c>
      <c r="I49" s="254">
        <f t="shared" si="10"/>
        <v>11524.8</v>
      </c>
      <c r="J49" s="117">
        <f t="shared" si="1"/>
        <v>13368.767999999998</v>
      </c>
      <c r="K49" s="389">
        <f>L49*1.4</f>
        <v>548.79999999999995</v>
      </c>
      <c r="L49" s="390">
        <v>392</v>
      </c>
      <c r="M49" s="226">
        <f t="shared" si="3"/>
        <v>7840</v>
      </c>
      <c r="N49" s="19" t="s">
        <v>751</v>
      </c>
      <c r="O49"/>
      <c r="P49"/>
    </row>
    <row r="50" spans="1:21" ht="35.1" customHeight="1" outlineLevel="1">
      <c r="A50" s="205"/>
      <c r="B50" s="426" t="s">
        <v>603</v>
      </c>
      <c r="C50" s="435" t="s">
        <v>104</v>
      </c>
      <c r="D50" s="428" t="s">
        <v>263</v>
      </c>
      <c r="E50" s="438" t="s">
        <v>183</v>
      </c>
      <c r="F50" s="254" t="s">
        <v>313</v>
      </c>
      <c r="G50" s="387" t="s">
        <v>73</v>
      </c>
      <c r="H50" s="388">
        <v>1</v>
      </c>
      <c r="I50" s="254">
        <f t="shared" si="10"/>
        <v>0</v>
      </c>
      <c r="J50" s="117">
        <f t="shared" si="1"/>
        <v>0</v>
      </c>
      <c r="K50" s="389">
        <f t="shared" ref="K50" si="11">L50*1.2</f>
        <v>0</v>
      </c>
      <c r="L50" s="390">
        <v>0</v>
      </c>
      <c r="M50" s="226">
        <f t="shared" si="3"/>
        <v>0</v>
      </c>
      <c r="N50" s="19" t="s">
        <v>751</v>
      </c>
      <c r="O50"/>
      <c r="P50"/>
    </row>
    <row r="51" spans="1:21" s="121" customFormat="1" ht="35.1" customHeight="1" outlineLevel="1">
      <c r="A51" s="205"/>
      <c r="B51" s="426"/>
      <c r="C51" s="435"/>
      <c r="D51" s="428"/>
      <c r="E51" s="438" t="s">
        <v>639</v>
      </c>
      <c r="F51" s="254"/>
      <c r="G51" s="387"/>
      <c r="H51" s="388"/>
      <c r="I51" s="254"/>
      <c r="J51" s="117"/>
      <c r="K51" s="389"/>
      <c r="L51" s="390"/>
      <c r="M51" s="226">
        <f t="shared" si="3"/>
        <v>0</v>
      </c>
      <c r="N51" s="19" t="s">
        <v>751</v>
      </c>
    </row>
    <row r="52" spans="1:21" ht="35.1" customHeight="1">
      <c r="A52" s="205"/>
      <c r="B52" s="426" t="s">
        <v>603</v>
      </c>
      <c r="C52" s="439" t="s">
        <v>105</v>
      </c>
      <c r="D52" s="428" t="s">
        <v>263</v>
      </c>
      <c r="E52" s="438" t="s">
        <v>184</v>
      </c>
      <c r="F52" s="254" t="s">
        <v>184</v>
      </c>
      <c r="G52" s="387" t="s">
        <v>74</v>
      </c>
      <c r="H52" s="388">
        <v>1</v>
      </c>
      <c r="I52" s="254">
        <f t="shared" si="6"/>
        <v>4908.75</v>
      </c>
      <c r="J52" s="117">
        <f t="shared" si="1"/>
        <v>5694.15</v>
      </c>
      <c r="K52" s="389">
        <f>L52*1.25</f>
        <v>233.75</v>
      </c>
      <c r="L52" s="390">
        <v>187</v>
      </c>
      <c r="M52" s="226">
        <f t="shared" si="3"/>
        <v>3740</v>
      </c>
      <c r="N52" s="19" t="s">
        <v>751</v>
      </c>
      <c r="O52"/>
      <c r="P52"/>
    </row>
    <row r="53" spans="1:21" ht="35.1" customHeight="1" outlineLevel="1">
      <c r="A53" s="205"/>
      <c r="B53" s="426" t="s">
        <v>603</v>
      </c>
      <c r="C53" s="439" t="s">
        <v>105</v>
      </c>
      <c r="D53" s="428" t="s">
        <v>263</v>
      </c>
      <c r="E53" s="438" t="s">
        <v>185</v>
      </c>
      <c r="F53" s="254" t="s">
        <v>185</v>
      </c>
      <c r="G53" s="387" t="s">
        <v>75</v>
      </c>
      <c r="H53" s="388">
        <v>1</v>
      </c>
      <c r="I53" s="254">
        <f t="shared" si="6"/>
        <v>13938.75</v>
      </c>
      <c r="J53" s="117">
        <f t="shared" si="1"/>
        <v>16168.949999999999</v>
      </c>
      <c r="K53" s="389">
        <f t="shared" ref="K53:K61" si="12">L53*1.25</f>
        <v>663.75</v>
      </c>
      <c r="L53" s="390">
        <v>531</v>
      </c>
      <c r="M53" s="226">
        <f t="shared" si="3"/>
        <v>10620</v>
      </c>
      <c r="N53" s="19" t="s">
        <v>751</v>
      </c>
      <c r="O53"/>
      <c r="P53"/>
    </row>
    <row r="54" spans="1:21" ht="35.1" customHeight="1" outlineLevel="1">
      <c r="A54" s="205"/>
      <c r="B54" s="426" t="s">
        <v>603</v>
      </c>
      <c r="C54" s="439" t="s">
        <v>105</v>
      </c>
      <c r="D54" s="428" t="s">
        <v>263</v>
      </c>
      <c r="E54" s="438" t="s">
        <v>187</v>
      </c>
      <c r="F54" s="254" t="s">
        <v>187</v>
      </c>
      <c r="G54" s="387" t="s">
        <v>76</v>
      </c>
      <c r="H54" s="388">
        <v>1</v>
      </c>
      <c r="I54" s="254">
        <f t="shared" si="6"/>
        <v>18716.25</v>
      </c>
      <c r="J54" s="117">
        <f t="shared" si="1"/>
        <v>21710.85</v>
      </c>
      <c r="K54" s="389">
        <f t="shared" si="12"/>
        <v>891.25</v>
      </c>
      <c r="L54" s="390">
        <v>713</v>
      </c>
      <c r="M54" s="226">
        <f t="shared" si="3"/>
        <v>14260</v>
      </c>
      <c r="N54" s="19" t="s">
        <v>751</v>
      </c>
      <c r="O54"/>
      <c r="P54"/>
    </row>
    <row r="55" spans="1:21" ht="35.1" customHeight="1" outlineLevel="1">
      <c r="A55" s="205"/>
      <c r="B55" s="426" t="s">
        <v>603</v>
      </c>
      <c r="C55" s="439" t="s">
        <v>105</v>
      </c>
      <c r="D55" s="428" t="s">
        <v>263</v>
      </c>
      <c r="E55" s="438" t="s">
        <v>186</v>
      </c>
      <c r="F55" s="254" t="s">
        <v>186</v>
      </c>
      <c r="G55" s="387" t="s">
        <v>103</v>
      </c>
      <c r="H55" s="388">
        <v>1</v>
      </c>
      <c r="I55" s="254">
        <f t="shared" si="6"/>
        <v>19083.75</v>
      </c>
      <c r="J55" s="117">
        <f t="shared" si="1"/>
        <v>22137.149999999998</v>
      </c>
      <c r="K55" s="389">
        <f>L55*1.25</f>
        <v>908.75</v>
      </c>
      <c r="L55" s="390">
        <v>727</v>
      </c>
      <c r="M55" s="226">
        <f t="shared" si="3"/>
        <v>14540</v>
      </c>
      <c r="N55" s="19" t="s">
        <v>751</v>
      </c>
      <c r="O55"/>
      <c r="P55"/>
    </row>
    <row r="56" spans="1:21" ht="35.1" customHeight="1" outlineLevel="1">
      <c r="A56" s="205"/>
      <c r="B56" s="426" t="s">
        <v>603</v>
      </c>
      <c r="C56" s="439" t="s">
        <v>105</v>
      </c>
      <c r="D56" s="428" t="s">
        <v>263</v>
      </c>
      <c r="E56" s="438" t="s">
        <v>188</v>
      </c>
      <c r="F56" s="254" t="s">
        <v>188</v>
      </c>
      <c r="G56" s="387" t="s">
        <v>77</v>
      </c>
      <c r="H56" s="388">
        <v>1</v>
      </c>
      <c r="I56" s="254">
        <f t="shared" si="6"/>
        <v>10841.25</v>
      </c>
      <c r="J56" s="117">
        <f t="shared" si="1"/>
        <v>12575.849999999999</v>
      </c>
      <c r="K56" s="389">
        <f t="shared" si="12"/>
        <v>516.25</v>
      </c>
      <c r="L56" s="390">
        <v>413</v>
      </c>
      <c r="M56" s="226">
        <f t="shared" si="3"/>
        <v>8260</v>
      </c>
      <c r="N56" s="19" t="s">
        <v>751</v>
      </c>
      <c r="O56"/>
      <c r="P56"/>
    </row>
    <row r="57" spans="1:21" ht="35.1" customHeight="1" outlineLevel="1">
      <c r="A57" s="205"/>
      <c r="B57" s="426" t="s">
        <v>603</v>
      </c>
      <c r="C57" s="439" t="s">
        <v>105</v>
      </c>
      <c r="D57" s="428" t="s">
        <v>263</v>
      </c>
      <c r="E57" s="438" t="s">
        <v>189</v>
      </c>
      <c r="F57" s="254" t="s">
        <v>189</v>
      </c>
      <c r="G57" s="387" t="s">
        <v>718</v>
      </c>
      <c r="H57" s="388">
        <v>1</v>
      </c>
      <c r="I57" s="254">
        <f t="shared" si="6"/>
        <v>37616.25</v>
      </c>
      <c r="J57" s="117">
        <f t="shared" si="1"/>
        <v>43634.85</v>
      </c>
      <c r="K57" s="389">
        <f t="shared" si="12"/>
        <v>1791.25</v>
      </c>
      <c r="L57" s="390">
        <v>1433</v>
      </c>
      <c r="M57" s="226">
        <f t="shared" si="3"/>
        <v>28660</v>
      </c>
      <c r="N57" s="19" t="s">
        <v>751</v>
      </c>
    </row>
    <row r="58" spans="1:21" ht="35.1" customHeight="1" outlineLevel="1">
      <c r="A58" s="205"/>
      <c r="B58" s="426" t="s">
        <v>603</v>
      </c>
      <c r="C58" s="439" t="s">
        <v>105</v>
      </c>
      <c r="D58" s="428" t="s">
        <v>263</v>
      </c>
      <c r="E58" s="438" t="s">
        <v>190</v>
      </c>
      <c r="F58" s="254" t="s">
        <v>190</v>
      </c>
      <c r="G58" s="387" t="s">
        <v>719</v>
      </c>
      <c r="H58" s="388">
        <v>1</v>
      </c>
      <c r="I58" s="254">
        <f t="shared" si="6"/>
        <v>37616.25</v>
      </c>
      <c r="J58" s="117">
        <f t="shared" si="1"/>
        <v>43634.85</v>
      </c>
      <c r="K58" s="389">
        <f t="shared" si="12"/>
        <v>1791.25</v>
      </c>
      <c r="L58" s="390">
        <v>1433</v>
      </c>
      <c r="M58" s="226">
        <f t="shared" si="3"/>
        <v>28660</v>
      </c>
      <c r="N58" s="19" t="s">
        <v>751</v>
      </c>
    </row>
    <row r="59" spans="1:21" ht="35.1" customHeight="1" outlineLevel="1">
      <c r="A59" s="205"/>
      <c r="B59" s="426" t="s">
        <v>603</v>
      </c>
      <c r="C59" s="439" t="s">
        <v>105</v>
      </c>
      <c r="D59" s="428" t="s">
        <v>263</v>
      </c>
      <c r="E59" s="438" t="s">
        <v>191</v>
      </c>
      <c r="F59" s="254" t="s">
        <v>191</v>
      </c>
      <c r="G59" s="387" t="s">
        <v>720</v>
      </c>
      <c r="H59" s="388">
        <v>1</v>
      </c>
      <c r="I59" s="254">
        <f t="shared" si="6"/>
        <v>55650</v>
      </c>
      <c r="J59" s="117">
        <f t="shared" si="1"/>
        <v>64553.999999999993</v>
      </c>
      <c r="K59" s="389">
        <f t="shared" si="12"/>
        <v>2650</v>
      </c>
      <c r="L59" s="390">
        <v>2120</v>
      </c>
      <c r="M59" s="226">
        <f t="shared" si="3"/>
        <v>42400</v>
      </c>
      <c r="N59" s="19" t="s">
        <v>751</v>
      </c>
    </row>
    <row r="60" spans="1:21" ht="35.1" customHeight="1" outlineLevel="1">
      <c r="A60" s="205"/>
      <c r="B60" s="426" t="s">
        <v>603</v>
      </c>
      <c r="C60" s="439" t="s">
        <v>105</v>
      </c>
      <c r="D60" s="428" t="s">
        <v>263</v>
      </c>
      <c r="E60" s="438" t="s">
        <v>192</v>
      </c>
      <c r="F60" s="254" t="s">
        <v>192</v>
      </c>
      <c r="G60" s="387" t="s">
        <v>721</v>
      </c>
      <c r="H60" s="388">
        <v>1</v>
      </c>
      <c r="I60" s="254">
        <f t="shared" si="6"/>
        <v>55650</v>
      </c>
      <c r="J60" s="117">
        <f t="shared" si="1"/>
        <v>64553.999999999993</v>
      </c>
      <c r="K60" s="389">
        <f t="shared" si="12"/>
        <v>2650</v>
      </c>
      <c r="L60" s="390">
        <v>2120</v>
      </c>
      <c r="M60" s="226">
        <f t="shared" si="3"/>
        <v>42400</v>
      </c>
      <c r="N60" s="19" t="s">
        <v>751</v>
      </c>
    </row>
    <row r="61" spans="1:21" s="19" customFormat="1" ht="35.1" customHeight="1" outlineLevel="1">
      <c r="A61" s="205"/>
      <c r="B61" s="426" t="s">
        <v>603</v>
      </c>
      <c r="C61" s="439" t="s">
        <v>105</v>
      </c>
      <c r="D61" s="428" t="s">
        <v>263</v>
      </c>
      <c r="E61" s="438" t="s">
        <v>599</v>
      </c>
      <c r="F61" s="254" t="s">
        <v>600</v>
      </c>
      <c r="G61" s="387" t="s">
        <v>598</v>
      </c>
      <c r="H61" s="388">
        <v>2</v>
      </c>
      <c r="I61" s="254">
        <f t="shared" si="6"/>
        <v>113793.75</v>
      </c>
      <c r="J61" s="117">
        <f t="shared" si="1"/>
        <v>132000.75</v>
      </c>
      <c r="K61" s="389">
        <f t="shared" si="12"/>
        <v>5418.75</v>
      </c>
      <c r="L61" s="390">
        <v>4335</v>
      </c>
      <c r="M61" s="226">
        <f t="shared" si="3"/>
        <v>86700</v>
      </c>
      <c r="N61" s="19" t="s">
        <v>751</v>
      </c>
    </row>
    <row r="62" spans="1:21" s="121" customFormat="1" ht="35.1" customHeight="1" outlineLevel="1">
      <c r="A62" s="205"/>
      <c r="B62" s="426" t="s">
        <v>603</v>
      </c>
      <c r="C62" s="439" t="s">
        <v>105</v>
      </c>
      <c r="D62" s="440" t="s">
        <v>258</v>
      </c>
      <c r="E62" s="438" t="s">
        <v>193</v>
      </c>
      <c r="F62" s="254" t="s">
        <v>466</v>
      </c>
      <c r="G62" s="387" t="s">
        <v>123</v>
      </c>
      <c r="H62" s="388">
        <v>1</v>
      </c>
      <c r="I62" s="254">
        <f>K62</f>
        <v>2187.0099999999998</v>
      </c>
      <c r="J62" s="117">
        <f t="shared" si="1"/>
        <v>2536.9315999999994</v>
      </c>
      <c r="K62" s="389">
        <f>L62*1.99</f>
        <v>2187.0099999999998</v>
      </c>
      <c r="L62" s="390">
        <v>1099</v>
      </c>
      <c r="M62" s="226">
        <f t="shared" si="3"/>
        <v>21980</v>
      </c>
      <c r="N62" s="19" t="s">
        <v>751</v>
      </c>
      <c r="O62" s="208"/>
      <c r="P62" s="208"/>
      <c r="Q62" s="208"/>
      <c r="R62" s="208"/>
      <c r="S62" s="208"/>
      <c r="T62" s="208"/>
      <c r="U62" s="208"/>
    </row>
    <row r="63" spans="1:21" ht="35.1" customHeight="1" outlineLevel="1">
      <c r="A63" s="205"/>
      <c r="B63" s="426" t="s">
        <v>603</v>
      </c>
      <c r="C63" s="439" t="s">
        <v>105</v>
      </c>
      <c r="D63" s="440" t="s">
        <v>258</v>
      </c>
      <c r="E63" s="438" t="s">
        <v>194</v>
      </c>
      <c r="F63" s="254" t="s">
        <v>467</v>
      </c>
      <c r="G63" s="387" t="s">
        <v>124</v>
      </c>
      <c r="H63" s="388">
        <v>1</v>
      </c>
      <c r="I63" s="254">
        <f t="shared" ref="I63:I79" si="13">K63</f>
        <v>2519.34</v>
      </c>
      <c r="J63" s="117">
        <f t="shared" si="1"/>
        <v>2922.4344000000001</v>
      </c>
      <c r="K63" s="389">
        <f t="shared" ref="K63:K81" si="14">L63*1.99</f>
        <v>2519.34</v>
      </c>
      <c r="L63" s="390">
        <v>1266</v>
      </c>
      <c r="M63" s="226">
        <f t="shared" si="3"/>
        <v>25320</v>
      </c>
      <c r="N63" s="19" t="s">
        <v>751</v>
      </c>
      <c r="O63" s="2"/>
      <c r="P63" s="2"/>
      <c r="Q63" s="2"/>
      <c r="R63" s="2"/>
      <c r="S63" s="2"/>
      <c r="T63" s="2"/>
      <c r="U63" s="2"/>
    </row>
    <row r="64" spans="1:21" ht="35.1" customHeight="1" outlineLevel="1">
      <c r="A64" s="205"/>
      <c r="B64" s="426" t="s">
        <v>603</v>
      </c>
      <c r="C64" s="439" t="s">
        <v>105</v>
      </c>
      <c r="D64" s="440" t="s">
        <v>258</v>
      </c>
      <c r="E64" s="438" t="s">
        <v>195</v>
      </c>
      <c r="F64" s="254" t="s">
        <v>468</v>
      </c>
      <c r="G64" s="387" t="s">
        <v>125</v>
      </c>
      <c r="H64" s="388">
        <v>1</v>
      </c>
      <c r="I64" s="254">
        <f t="shared" si="13"/>
        <v>2851.67</v>
      </c>
      <c r="J64" s="117">
        <f t="shared" si="1"/>
        <v>3307.9371999999998</v>
      </c>
      <c r="K64" s="389">
        <f t="shared" si="14"/>
        <v>2851.67</v>
      </c>
      <c r="L64" s="390">
        <v>1433</v>
      </c>
      <c r="M64" s="226">
        <f t="shared" si="3"/>
        <v>28660</v>
      </c>
      <c r="N64" s="19" t="s">
        <v>751</v>
      </c>
      <c r="O64" s="7"/>
      <c r="P64" s="7"/>
      <c r="Q64" s="7"/>
      <c r="R64" s="7"/>
      <c r="S64" s="7"/>
      <c r="T64" s="7"/>
      <c r="U64" s="7"/>
    </row>
    <row r="65" spans="1:21" ht="35.1" customHeight="1" outlineLevel="1">
      <c r="A65" s="205"/>
      <c r="B65" s="426" t="s">
        <v>603</v>
      </c>
      <c r="C65" s="439" t="s">
        <v>105</v>
      </c>
      <c r="D65" s="440" t="s">
        <v>258</v>
      </c>
      <c r="E65" s="438" t="s">
        <v>196</v>
      </c>
      <c r="F65" s="254" t="s">
        <v>469</v>
      </c>
      <c r="G65" s="387" t="s">
        <v>120</v>
      </c>
      <c r="H65" s="388">
        <v>1</v>
      </c>
      <c r="I65" s="254">
        <f t="shared" si="13"/>
        <v>3719.31</v>
      </c>
      <c r="J65" s="117">
        <f t="shared" si="1"/>
        <v>4314.3995999999997</v>
      </c>
      <c r="K65" s="389">
        <f t="shared" si="14"/>
        <v>3719.31</v>
      </c>
      <c r="L65" s="390">
        <v>1869</v>
      </c>
      <c r="M65" s="226">
        <f t="shared" si="3"/>
        <v>37380</v>
      </c>
      <c r="N65" s="19" t="s">
        <v>751</v>
      </c>
      <c r="O65" s="2"/>
      <c r="P65" s="2"/>
      <c r="Q65" s="2"/>
      <c r="R65" s="2"/>
      <c r="S65" s="2"/>
      <c r="T65" s="2"/>
      <c r="U65" s="2"/>
    </row>
    <row r="66" spans="1:21" ht="35.1" customHeight="1" outlineLevel="1">
      <c r="A66" s="205"/>
      <c r="B66" s="426" t="s">
        <v>603</v>
      </c>
      <c r="C66" s="439" t="s">
        <v>105</v>
      </c>
      <c r="D66" s="440" t="s">
        <v>258</v>
      </c>
      <c r="E66" s="438" t="s">
        <v>197</v>
      </c>
      <c r="F66" s="254" t="s">
        <v>470</v>
      </c>
      <c r="G66" s="387" t="s">
        <v>121</v>
      </c>
      <c r="H66" s="388">
        <v>1</v>
      </c>
      <c r="I66" s="254">
        <f t="shared" si="13"/>
        <v>3844.68</v>
      </c>
      <c r="J66" s="117">
        <f t="shared" si="1"/>
        <v>4459.8287999999993</v>
      </c>
      <c r="K66" s="389">
        <f t="shared" si="14"/>
        <v>3844.68</v>
      </c>
      <c r="L66" s="390">
        <v>1932</v>
      </c>
      <c r="M66" s="226">
        <f t="shared" si="3"/>
        <v>38640</v>
      </c>
      <c r="N66" s="19" t="s">
        <v>751</v>
      </c>
      <c r="O66" s="2"/>
      <c r="P66" s="2"/>
      <c r="Q66" s="2"/>
      <c r="R66" s="2"/>
      <c r="S66" s="2"/>
      <c r="T66" s="2"/>
      <c r="U66" s="2"/>
    </row>
    <row r="67" spans="1:21" ht="35.1" customHeight="1" outlineLevel="1">
      <c r="A67" s="205"/>
      <c r="B67" s="426" t="s">
        <v>603</v>
      </c>
      <c r="C67" s="439" t="s">
        <v>105</v>
      </c>
      <c r="D67" s="440" t="s">
        <v>258</v>
      </c>
      <c r="E67" s="438" t="s">
        <v>198</v>
      </c>
      <c r="F67" s="254" t="s">
        <v>471</v>
      </c>
      <c r="G67" s="387" t="s">
        <v>122</v>
      </c>
      <c r="H67" s="388">
        <v>1</v>
      </c>
      <c r="I67" s="254">
        <f t="shared" si="13"/>
        <v>4342.18</v>
      </c>
      <c r="J67" s="117">
        <f t="shared" si="1"/>
        <v>5036.9287999999997</v>
      </c>
      <c r="K67" s="389">
        <f t="shared" si="14"/>
        <v>4342.18</v>
      </c>
      <c r="L67" s="390">
        <v>2182</v>
      </c>
      <c r="M67" s="226">
        <f t="shared" si="3"/>
        <v>43640</v>
      </c>
      <c r="N67" s="19" t="s">
        <v>751</v>
      </c>
      <c r="O67" s="7"/>
      <c r="P67" s="7"/>
      <c r="Q67" s="7"/>
      <c r="R67" s="7"/>
      <c r="S67" s="7"/>
      <c r="T67" s="7"/>
      <c r="U67" s="7"/>
    </row>
    <row r="68" spans="1:21" ht="35.1" customHeight="1" outlineLevel="1">
      <c r="A68" s="205"/>
      <c r="B68" s="426" t="s">
        <v>603</v>
      </c>
      <c r="C68" s="439" t="s">
        <v>105</v>
      </c>
      <c r="D68" s="440" t="s">
        <v>258</v>
      </c>
      <c r="E68" s="438" t="s">
        <v>199</v>
      </c>
      <c r="F68" s="254" t="s">
        <v>472</v>
      </c>
      <c r="G68" s="387" t="s">
        <v>115</v>
      </c>
      <c r="H68" s="388">
        <v>1</v>
      </c>
      <c r="I68" s="254">
        <f t="shared" si="13"/>
        <v>8290.34</v>
      </c>
      <c r="J68" s="117">
        <f t="shared" si="1"/>
        <v>9616.7943999999989</v>
      </c>
      <c r="K68" s="389">
        <f t="shared" si="14"/>
        <v>8290.34</v>
      </c>
      <c r="L68" s="390">
        <v>4166</v>
      </c>
      <c r="M68" s="226">
        <f t="shared" ref="M68:M131" si="15">L68*20</f>
        <v>83320</v>
      </c>
      <c r="N68" s="19" t="s">
        <v>751</v>
      </c>
      <c r="O68" s="2"/>
      <c r="P68" s="2"/>
      <c r="Q68" s="2"/>
      <c r="R68" s="2"/>
      <c r="S68" s="2"/>
      <c r="T68" s="2"/>
      <c r="U68" s="2"/>
    </row>
    <row r="69" spans="1:21" ht="35.1" customHeight="1" outlineLevel="1">
      <c r="A69" s="205"/>
      <c r="B69" s="426" t="s">
        <v>603</v>
      </c>
      <c r="C69" s="439" t="s">
        <v>105</v>
      </c>
      <c r="D69" s="440" t="s">
        <v>258</v>
      </c>
      <c r="E69" s="438" t="s">
        <v>200</v>
      </c>
      <c r="F69" s="254" t="s">
        <v>473</v>
      </c>
      <c r="G69" s="387" t="s">
        <v>116</v>
      </c>
      <c r="H69" s="388">
        <v>1</v>
      </c>
      <c r="I69" s="254">
        <f t="shared" si="13"/>
        <v>8555.01</v>
      </c>
      <c r="J69" s="117">
        <f t="shared" si="1"/>
        <v>9923.8115999999991</v>
      </c>
      <c r="K69" s="389">
        <f t="shared" si="14"/>
        <v>8555.01</v>
      </c>
      <c r="L69" s="390">
        <v>4299</v>
      </c>
      <c r="M69" s="226">
        <f t="shared" si="15"/>
        <v>85980</v>
      </c>
      <c r="N69" s="19" t="s">
        <v>751</v>
      </c>
      <c r="O69" s="2"/>
      <c r="P69" s="2"/>
      <c r="Q69" s="2"/>
      <c r="R69" s="2"/>
      <c r="S69" s="2"/>
      <c r="T69" s="2"/>
      <c r="U69" s="2"/>
    </row>
    <row r="70" spans="1:21" ht="35.1" customHeight="1" outlineLevel="1">
      <c r="A70" s="205"/>
      <c r="B70" s="426" t="s">
        <v>603</v>
      </c>
      <c r="C70" s="439" t="s">
        <v>105</v>
      </c>
      <c r="D70" s="440" t="s">
        <v>258</v>
      </c>
      <c r="E70" s="438" t="s">
        <v>201</v>
      </c>
      <c r="F70" s="254" t="s">
        <v>474</v>
      </c>
      <c r="G70" s="387" t="s">
        <v>117</v>
      </c>
      <c r="H70" s="388">
        <v>1</v>
      </c>
      <c r="I70" s="254">
        <f t="shared" si="13"/>
        <v>8913.2099999999991</v>
      </c>
      <c r="J70" s="117">
        <f t="shared" si="1"/>
        <v>10339.323599999998</v>
      </c>
      <c r="K70" s="389">
        <f t="shared" si="14"/>
        <v>8913.2099999999991</v>
      </c>
      <c r="L70" s="390">
        <v>4479</v>
      </c>
      <c r="M70" s="226">
        <f t="shared" si="15"/>
        <v>89580</v>
      </c>
      <c r="N70" s="19" t="s">
        <v>751</v>
      </c>
      <c r="O70" s="7"/>
      <c r="P70" s="7"/>
      <c r="Q70" s="7"/>
      <c r="R70" s="7"/>
      <c r="S70" s="7"/>
      <c r="T70" s="7"/>
      <c r="U70" s="7"/>
    </row>
    <row r="71" spans="1:21" ht="35.1" customHeight="1" outlineLevel="1">
      <c r="A71" s="205"/>
      <c r="B71" s="426" t="s">
        <v>603</v>
      </c>
      <c r="C71" s="439" t="s">
        <v>105</v>
      </c>
      <c r="D71" s="440" t="s">
        <v>258</v>
      </c>
      <c r="E71" s="438" t="s">
        <v>202</v>
      </c>
      <c r="F71" s="254" t="s">
        <v>476</v>
      </c>
      <c r="G71" s="387" t="s">
        <v>112</v>
      </c>
      <c r="H71" s="388">
        <v>1</v>
      </c>
      <c r="I71" s="254">
        <f t="shared" si="13"/>
        <v>10284.32</v>
      </c>
      <c r="J71" s="117">
        <f t="shared" si="1"/>
        <v>11929.811199999998</v>
      </c>
      <c r="K71" s="389">
        <f t="shared" si="14"/>
        <v>10284.32</v>
      </c>
      <c r="L71" s="390">
        <v>5168</v>
      </c>
      <c r="M71" s="226">
        <f t="shared" si="15"/>
        <v>103360</v>
      </c>
      <c r="N71" s="19" t="s">
        <v>751</v>
      </c>
      <c r="O71" s="2"/>
      <c r="P71" s="2"/>
      <c r="Q71" s="2"/>
      <c r="R71" s="2"/>
      <c r="S71" s="2"/>
      <c r="T71" s="2"/>
      <c r="U71" s="2"/>
    </row>
    <row r="72" spans="1:21" ht="35.1" customHeight="1" outlineLevel="1">
      <c r="A72" s="205"/>
      <c r="B72" s="426" t="s">
        <v>603</v>
      </c>
      <c r="C72" s="439" t="s">
        <v>105</v>
      </c>
      <c r="D72" s="440" t="s">
        <v>258</v>
      </c>
      <c r="E72" s="438" t="s">
        <v>203</v>
      </c>
      <c r="F72" s="254" t="s">
        <v>475</v>
      </c>
      <c r="G72" s="387" t="s">
        <v>113</v>
      </c>
      <c r="H72" s="388">
        <v>1</v>
      </c>
      <c r="I72" s="254">
        <f t="shared" si="13"/>
        <v>10409.69</v>
      </c>
      <c r="J72" s="117">
        <f t="shared" si="1"/>
        <v>12075.240400000001</v>
      </c>
      <c r="K72" s="389">
        <f t="shared" si="14"/>
        <v>10409.69</v>
      </c>
      <c r="L72" s="390">
        <v>5231</v>
      </c>
      <c r="M72" s="226">
        <f t="shared" si="15"/>
        <v>104620</v>
      </c>
      <c r="N72" s="19" t="s">
        <v>751</v>
      </c>
      <c r="O72" s="2"/>
      <c r="P72" s="2"/>
      <c r="Q72" s="2"/>
      <c r="R72" s="2"/>
      <c r="S72" s="2"/>
      <c r="T72" s="2"/>
      <c r="U72" s="2"/>
    </row>
    <row r="73" spans="1:21" ht="35.1" customHeight="1" outlineLevel="1">
      <c r="A73" s="205"/>
      <c r="B73" s="426" t="s">
        <v>603</v>
      </c>
      <c r="C73" s="439" t="s">
        <v>105</v>
      </c>
      <c r="D73" s="440" t="s">
        <v>258</v>
      </c>
      <c r="E73" s="438" t="s">
        <v>204</v>
      </c>
      <c r="F73" s="254" t="s">
        <v>477</v>
      </c>
      <c r="G73" s="387" t="s">
        <v>114</v>
      </c>
      <c r="H73" s="388">
        <v>1</v>
      </c>
      <c r="I73" s="254">
        <f t="shared" si="13"/>
        <v>10907.19</v>
      </c>
      <c r="J73" s="117">
        <f t="shared" si="1"/>
        <v>12652.340399999999</v>
      </c>
      <c r="K73" s="389">
        <f t="shared" si="14"/>
        <v>10907.19</v>
      </c>
      <c r="L73" s="390">
        <v>5481</v>
      </c>
      <c r="M73" s="226">
        <f t="shared" si="15"/>
        <v>109620</v>
      </c>
      <c r="N73" s="19" t="s">
        <v>751</v>
      </c>
      <c r="O73" s="7"/>
      <c r="P73" s="7"/>
      <c r="Q73" s="7"/>
      <c r="R73" s="7"/>
      <c r="S73" s="7"/>
      <c r="T73" s="7"/>
      <c r="U73" s="7"/>
    </row>
    <row r="74" spans="1:21" ht="35.1" customHeight="1" outlineLevel="1">
      <c r="A74" s="205"/>
      <c r="B74" s="426" t="s">
        <v>603</v>
      </c>
      <c r="C74" s="439" t="s">
        <v>105</v>
      </c>
      <c r="D74" s="440" t="s">
        <v>258</v>
      </c>
      <c r="E74" s="438" t="s">
        <v>206</v>
      </c>
      <c r="F74" s="254" t="s">
        <v>478</v>
      </c>
      <c r="G74" s="387" t="s">
        <v>109</v>
      </c>
      <c r="H74" s="388">
        <v>1</v>
      </c>
      <c r="I74" s="254">
        <f t="shared" si="13"/>
        <v>11967.86</v>
      </c>
      <c r="J74" s="117">
        <f t="shared" si="1"/>
        <v>13882.7176</v>
      </c>
      <c r="K74" s="389">
        <f t="shared" si="14"/>
        <v>11967.86</v>
      </c>
      <c r="L74" s="390">
        <v>6014</v>
      </c>
      <c r="M74" s="226">
        <f t="shared" si="15"/>
        <v>120280</v>
      </c>
      <c r="N74" s="19" t="s">
        <v>751</v>
      </c>
      <c r="O74" s="2"/>
      <c r="P74" s="2"/>
      <c r="Q74" s="2"/>
      <c r="R74" s="2"/>
      <c r="S74" s="2"/>
      <c r="T74" s="2"/>
      <c r="U74" s="2"/>
    </row>
    <row r="75" spans="1:21" ht="35.1" customHeight="1" outlineLevel="1">
      <c r="A75" s="205"/>
      <c r="B75" s="426" t="s">
        <v>603</v>
      </c>
      <c r="C75" s="439" t="s">
        <v>105</v>
      </c>
      <c r="D75" s="440" t="s">
        <v>258</v>
      </c>
      <c r="E75" s="438" t="s">
        <v>207</v>
      </c>
      <c r="F75" s="254" t="s">
        <v>479</v>
      </c>
      <c r="G75" s="387" t="s">
        <v>110</v>
      </c>
      <c r="H75" s="388">
        <v>1</v>
      </c>
      <c r="I75" s="254">
        <f t="shared" si="13"/>
        <v>12071.34</v>
      </c>
      <c r="J75" s="117">
        <f t="shared" si="1"/>
        <v>14002.7544</v>
      </c>
      <c r="K75" s="389">
        <f t="shared" si="14"/>
        <v>12071.34</v>
      </c>
      <c r="L75" s="390">
        <v>6066</v>
      </c>
      <c r="M75" s="226">
        <f t="shared" si="15"/>
        <v>121320</v>
      </c>
      <c r="N75" s="19" t="s">
        <v>751</v>
      </c>
      <c r="O75" s="2"/>
      <c r="P75" s="2"/>
      <c r="Q75" s="2"/>
      <c r="R75" s="2"/>
      <c r="S75" s="2"/>
      <c r="T75" s="2"/>
      <c r="U75" s="2"/>
    </row>
    <row r="76" spans="1:21" ht="35.1" customHeight="1" outlineLevel="1">
      <c r="A76" s="205"/>
      <c r="B76" s="426" t="s">
        <v>603</v>
      </c>
      <c r="C76" s="439" t="s">
        <v>105</v>
      </c>
      <c r="D76" s="440" t="s">
        <v>258</v>
      </c>
      <c r="E76" s="438" t="s">
        <v>208</v>
      </c>
      <c r="F76" s="254" t="s">
        <v>480</v>
      </c>
      <c r="G76" s="387" t="s">
        <v>111</v>
      </c>
      <c r="H76" s="388">
        <v>1</v>
      </c>
      <c r="I76" s="254">
        <f t="shared" si="13"/>
        <v>12570.83</v>
      </c>
      <c r="J76" s="117">
        <f t="shared" ref="J76:J150" si="16">I76*1.16</f>
        <v>14582.162799999998</v>
      </c>
      <c r="K76" s="389">
        <f t="shared" si="14"/>
        <v>12570.83</v>
      </c>
      <c r="L76" s="390">
        <v>6317</v>
      </c>
      <c r="M76" s="226">
        <f t="shared" si="15"/>
        <v>126340</v>
      </c>
      <c r="N76" s="19" t="s">
        <v>751</v>
      </c>
      <c r="O76" s="7"/>
      <c r="P76" s="7"/>
      <c r="Q76" s="7"/>
      <c r="R76" s="7"/>
      <c r="S76" s="7"/>
      <c r="T76" s="7"/>
      <c r="U76" s="7"/>
    </row>
    <row r="77" spans="1:21" s="19" customFormat="1" ht="35.1" customHeight="1" outlineLevel="1">
      <c r="A77" s="205"/>
      <c r="B77" s="426" t="s">
        <v>603</v>
      </c>
      <c r="C77" s="439" t="s">
        <v>105</v>
      </c>
      <c r="D77" s="440" t="s">
        <v>258</v>
      </c>
      <c r="E77" s="308" t="s">
        <v>650</v>
      </c>
      <c r="F77" s="254" t="s">
        <v>650</v>
      </c>
      <c r="G77" s="387" t="s">
        <v>651</v>
      </c>
      <c r="H77" s="388">
        <v>1</v>
      </c>
      <c r="I77" s="254">
        <f>K77*20</f>
        <v>3980</v>
      </c>
      <c r="J77" s="117">
        <f t="shared" si="16"/>
        <v>4616.7999999999993</v>
      </c>
      <c r="K77" s="389">
        <f>L77*1.99</f>
        <v>199</v>
      </c>
      <c r="L77" s="390">
        <v>100</v>
      </c>
      <c r="M77" s="226">
        <f t="shared" si="15"/>
        <v>2000</v>
      </c>
      <c r="N77" s="19" t="s">
        <v>751</v>
      </c>
      <c r="O77" s="7"/>
      <c r="P77" s="7"/>
      <c r="Q77" s="7"/>
      <c r="R77" s="7"/>
      <c r="S77" s="7"/>
      <c r="T77" s="7"/>
      <c r="U77" s="7"/>
    </row>
    <row r="78" spans="1:21" s="19" customFormat="1" ht="35.1" customHeight="1" outlineLevel="1">
      <c r="A78" s="205"/>
      <c r="B78" s="426" t="s">
        <v>603</v>
      </c>
      <c r="C78" s="439" t="s">
        <v>105</v>
      </c>
      <c r="D78" s="440" t="s">
        <v>258</v>
      </c>
      <c r="E78" s="308" t="s">
        <v>654</v>
      </c>
      <c r="F78" s="254" t="s">
        <v>654</v>
      </c>
      <c r="G78" s="387" t="s">
        <v>655</v>
      </c>
      <c r="H78" s="388">
        <v>3</v>
      </c>
      <c r="I78" s="254">
        <f>K78*20</f>
        <v>5970</v>
      </c>
      <c r="J78" s="117">
        <f t="shared" si="16"/>
        <v>6925.2</v>
      </c>
      <c r="K78" s="389">
        <f t="shared" si="14"/>
        <v>298.5</v>
      </c>
      <c r="L78" s="390">
        <v>150</v>
      </c>
      <c r="M78" s="226">
        <f t="shared" si="15"/>
        <v>3000</v>
      </c>
      <c r="N78" s="19" t="s">
        <v>751</v>
      </c>
      <c r="O78" s="7"/>
      <c r="P78" s="7"/>
      <c r="Q78" s="7"/>
      <c r="R78" s="7"/>
      <c r="S78" s="7"/>
      <c r="T78" s="7"/>
      <c r="U78" s="7"/>
    </row>
    <row r="79" spans="1:21" ht="35.1" customHeight="1" outlineLevel="1">
      <c r="A79" s="205"/>
      <c r="B79" s="426" t="s">
        <v>603</v>
      </c>
      <c r="C79" s="439" t="s">
        <v>105</v>
      </c>
      <c r="D79" s="440" t="s">
        <v>258</v>
      </c>
      <c r="E79" s="438" t="s">
        <v>205</v>
      </c>
      <c r="F79" s="254" t="s">
        <v>481</v>
      </c>
      <c r="G79" s="387" t="s">
        <v>118</v>
      </c>
      <c r="H79" s="388">
        <v>1</v>
      </c>
      <c r="I79" s="254">
        <f t="shared" si="13"/>
        <v>21492</v>
      </c>
      <c r="J79" s="117">
        <f t="shared" si="16"/>
        <v>24930.719999999998</v>
      </c>
      <c r="K79" s="389">
        <f t="shared" si="14"/>
        <v>21492</v>
      </c>
      <c r="L79" s="390">
        <v>10800</v>
      </c>
      <c r="M79" s="226">
        <f t="shared" si="15"/>
        <v>216000</v>
      </c>
      <c r="N79" s="19" t="s">
        <v>751</v>
      </c>
      <c r="O79" s="7"/>
      <c r="P79" s="7"/>
      <c r="Q79" s="7"/>
      <c r="R79" s="7"/>
      <c r="S79" s="7"/>
      <c r="T79" s="7"/>
      <c r="U79" s="7"/>
    </row>
    <row r="80" spans="1:21" s="19" customFormat="1" ht="35.1" customHeight="1" outlineLevel="1">
      <c r="A80" s="205"/>
      <c r="B80" s="426" t="s">
        <v>603</v>
      </c>
      <c r="C80" s="439" t="s">
        <v>105</v>
      </c>
      <c r="D80" s="440" t="s">
        <v>258</v>
      </c>
      <c r="E80" s="438" t="s">
        <v>652</v>
      </c>
      <c r="F80" s="254"/>
      <c r="G80" s="387"/>
      <c r="H80" s="388"/>
      <c r="I80" s="254"/>
      <c r="J80" s="117"/>
      <c r="K80" s="389">
        <f t="shared" si="14"/>
        <v>0</v>
      </c>
      <c r="L80" s="390"/>
      <c r="M80" s="226">
        <f t="shared" si="15"/>
        <v>0</v>
      </c>
      <c r="N80" s="19" t="s">
        <v>751</v>
      </c>
      <c r="O80" s="104"/>
      <c r="P80" s="104"/>
      <c r="Q80" s="104"/>
      <c r="R80" s="104"/>
      <c r="S80" s="104"/>
      <c r="T80" s="104"/>
      <c r="U80" s="104"/>
    </row>
    <row r="81" spans="1:21" s="19" customFormat="1" ht="35.1" customHeight="1" outlineLevel="1">
      <c r="A81" s="205"/>
      <c r="B81" s="426" t="s">
        <v>603</v>
      </c>
      <c r="C81" s="439" t="s">
        <v>105</v>
      </c>
      <c r="D81" s="440" t="s">
        <v>258</v>
      </c>
      <c r="E81" s="438" t="s">
        <v>653</v>
      </c>
      <c r="F81" s="254"/>
      <c r="G81" s="387"/>
      <c r="H81" s="388"/>
      <c r="I81" s="254"/>
      <c r="J81" s="117"/>
      <c r="K81" s="389">
        <f t="shared" si="14"/>
        <v>0</v>
      </c>
      <c r="L81" s="390"/>
      <c r="M81" s="226">
        <f t="shared" si="15"/>
        <v>0</v>
      </c>
      <c r="N81" s="19" t="s">
        <v>751</v>
      </c>
      <c r="O81" s="104"/>
      <c r="P81" s="104"/>
      <c r="Q81" s="104"/>
      <c r="R81" s="104"/>
      <c r="S81" s="104"/>
      <c r="T81" s="104"/>
      <c r="U81" s="104"/>
    </row>
    <row r="82" spans="1:21" s="121" customFormat="1" ht="35.1" customHeight="1">
      <c r="A82" s="205"/>
      <c r="B82" s="205"/>
      <c r="C82" s="441" t="s">
        <v>433</v>
      </c>
      <c r="D82" s="428" t="s">
        <v>265</v>
      </c>
      <c r="E82" s="438" t="s">
        <v>217</v>
      </c>
      <c r="F82" s="254" t="s">
        <v>317</v>
      </c>
      <c r="G82" s="387" t="s">
        <v>421</v>
      </c>
      <c r="H82" s="388">
        <v>1</v>
      </c>
      <c r="I82" s="254">
        <f>K82</f>
        <v>193.87199999999999</v>
      </c>
      <c r="J82" s="117">
        <f t="shared" si="16"/>
        <v>224.89151999999996</v>
      </c>
      <c r="K82" s="389">
        <f>L82*210%</f>
        <v>193.87199999999999</v>
      </c>
      <c r="L82" s="390">
        <v>92.32</v>
      </c>
      <c r="M82" s="226">
        <f t="shared" si="15"/>
        <v>1846.3999999999999</v>
      </c>
      <c r="N82" s="19" t="s">
        <v>751</v>
      </c>
    </row>
    <row r="83" spans="1:21" ht="35.1" customHeight="1" outlineLevel="1">
      <c r="A83" s="205"/>
      <c r="B83" s="205"/>
      <c r="C83" s="441" t="s">
        <v>433</v>
      </c>
      <c r="D83" s="428" t="s">
        <v>265</v>
      </c>
      <c r="E83" s="438" t="s">
        <v>218</v>
      </c>
      <c r="F83" s="254" t="s">
        <v>770</v>
      </c>
      <c r="G83" s="387" t="s">
        <v>771</v>
      </c>
      <c r="H83" s="388">
        <v>1</v>
      </c>
      <c r="I83" s="254">
        <f t="shared" ref="I83:I88" si="17">K83</f>
        <v>164.65</v>
      </c>
      <c r="J83" s="117">
        <f t="shared" si="16"/>
        <v>190.994</v>
      </c>
      <c r="K83" s="389">
        <f>L83*185%</f>
        <v>164.65</v>
      </c>
      <c r="L83" s="390">
        <v>89</v>
      </c>
      <c r="M83" s="226">
        <f t="shared" si="15"/>
        <v>1780</v>
      </c>
      <c r="N83" s="19" t="s">
        <v>751</v>
      </c>
      <c r="O83"/>
    </row>
    <row r="84" spans="1:21" ht="35.1" customHeight="1" outlineLevel="1">
      <c r="A84" s="205"/>
      <c r="B84" s="205"/>
      <c r="C84" s="441" t="s">
        <v>433</v>
      </c>
      <c r="D84" s="428" t="s">
        <v>265</v>
      </c>
      <c r="E84" s="438" t="s">
        <v>219</v>
      </c>
      <c r="F84" s="254" t="s">
        <v>318</v>
      </c>
      <c r="G84" s="387" t="s">
        <v>422</v>
      </c>
      <c r="H84" s="388">
        <v>1</v>
      </c>
      <c r="I84" s="254">
        <f t="shared" si="17"/>
        <v>273</v>
      </c>
      <c r="J84" s="117">
        <f t="shared" si="16"/>
        <v>316.67999999999995</v>
      </c>
      <c r="K84" s="389">
        <f t="shared" ref="K84:K88" si="18">L84*210%</f>
        <v>273</v>
      </c>
      <c r="L84" s="390">
        <v>130</v>
      </c>
      <c r="M84" s="226">
        <f t="shared" si="15"/>
        <v>2600</v>
      </c>
      <c r="N84" s="19" t="s">
        <v>751</v>
      </c>
      <c r="O84"/>
    </row>
    <row r="85" spans="1:21" ht="35.1" customHeight="1" outlineLevel="1">
      <c r="A85" s="205"/>
      <c r="B85" s="205"/>
      <c r="C85" s="441" t="s">
        <v>433</v>
      </c>
      <c r="D85" s="428" t="s">
        <v>265</v>
      </c>
      <c r="E85" s="438" t="s">
        <v>220</v>
      </c>
      <c r="F85" s="254" t="s">
        <v>319</v>
      </c>
      <c r="G85" s="387" t="s">
        <v>424</v>
      </c>
      <c r="H85" s="388">
        <v>1</v>
      </c>
      <c r="I85" s="254">
        <f t="shared" si="17"/>
        <v>273</v>
      </c>
      <c r="J85" s="117">
        <f t="shared" si="16"/>
        <v>316.67999999999995</v>
      </c>
      <c r="K85" s="389">
        <f t="shared" si="18"/>
        <v>273</v>
      </c>
      <c r="L85" s="390">
        <v>130</v>
      </c>
      <c r="M85" s="226">
        <f t="shared" si="15"/>
        <v>2600</v>
      </c>
      <c r="N85" s="19" t="s">
        <v>751</v>
      </c>
      <c r="O85"/>
    </row>
    <row r="86" spans="1:21" ht="35.1" customHeight="1" outlineLevel="1">
      <c r="A86" s="205"/>
      <c r="B86" s="205"/>
      <c r="C86" s="441" t="s">
        <v>433</v>
      </c>
      <c r="D86" s="428" t="s">
        <v>265</v>
      </c>
      <c r="E86" s="438" t="s">
        <v>221</v>
      </c>
      <c r="F86" s="254" t="s">
        <v>320</v>
      </c>
      <c r="G86" s="387" t="s">
        <v>423</v>
      </c>
      <c r="H86" s="388">
        <v>1</v>
      </c>
      <c r="I86" s="254">
        <f t="shared" si="17"/>
        <v>476.70000000000005</v>
      </c>
      <c r="J86" s="117">
        <f t="shared" si="16"/>
        <v>552.97199999999998</v>
      </c>
      <c r="K86" s="389">
        <f t="shared" si="18"/>
        <v>476.70000000000005</v>
      </c>
      <c r="L86" s="390">
        <v>227</v>
      </c>
      <c r="M86" s="226">
        <f t="shared" si="15"/>
        <v>4540</v>
      </c>
      <c r="N86" s="19" t="s">
        <v>751</v>
      </c>
      <c r="O86"/>
    </row>
    <row r="87" spans="1:21" ht="35.1" customHeight="1" outlineLevel="1">
      <c r="A87" s="205"/>
      <c r="B87" s="205"/>
      <c r="C87" s="441" t="s">
        <v>433</v>
      </c>
      <c r="D87" s="428" t="s">
        <v>265</v>
      </c>
      <c r="E87" s="438" t="s">
        <v>222</v>
      </c>
      <c r="F87" s="254" t="s">
        <v>321</v>
      </c>
      <c r="G87" s="387" t="s">
        <v>425</v>
      </c>
      <c r="H87" s="388">
        <v>1</v>
      </c>
      <c r="I87" s="254">
        <f t="shared" si="17"/>
        <v>476.70000000000005</v>
      </c>
      <c r="J87" s="117">
        <f t="shared" si="16"/>
        <v>552.97199999999998</v>
      </c>
      <c r="K87" s="389">
        <f t="shared" si="18"/>
        <v>476.70000000000005</v>
      </c>
      <c r="L87" s="390">
        <v>227</v>
      </c>
      <c r="M87" s="226">
        <f t="shared" si="15"/>
        <v>4540</v>
      </c>
      <c r="N87" s="19" t="s">
        <v>751</v>
      </c>
      <c r="O87"/>
    </row>
    <row r="88" spans="1:21" ht="35.1" customHeight="1" outlineLevel="1">
      <c r="A88" s="205"/>
      <c r="B88" s="205"/>
      <c r="C88" s="441" t="s">
        <v>433</v>
      </c>
      <c r="D88" s="428" t="s">
        <v>265</v>
      </c>
      <c r="E88" s="438" t="s">
        <v>222</v>
      </c>
      <c r="F88" s="254" t="s">
        <v>321</v>
      </c>
      <c r="G88" s="387" t="s">
        <v>425</v>
      </c>
      <c r="H88" s="388">
        <v>1</v>
      </c>
      <c r="I88" s="254">
        <f t="shared" si="17"/>
        <v>476.70000000000005</v>
      </c>
      <c r="J88" s="117">
        <f t="shared" si="16"/>
        <v>552.97199999999998</v>
      </c>
      <c r="K88" s="389">
        <f t="shared" si="18"/>
        <v>476.70000000000005</v>
      </c>
      <c r="L88" s="390">
        <v>227</v>
      </c>
      <c r="M88" s="226">
        <f t="shared" si="15"/>
        <v>4540</v>
      </c>
      <c r="N88" s="19" t="s">
        <v>751</v>
      </c>
      <c r="O88"/>
    </row>
    <row r="89" spans="1:21" s="313" customFormat="1" ht="35.1" customHeight="1" outlineLevel="1">
      <c r="A89" s="205"/>
      <c r="B89" s="205"/>
      <c r="C89" s="441"/>
      <c r="D89" s="442"/>
      <c r="E89" s="443"/>
      <c r="F89" s="254"/>
      <c r="G89" s="387"/>
      <c r="H89" s="388"/>
      <c r="I89" s="254"/>
      <c r="J89" s="117"/>
      <c r="K89" s="389"/>
      <c r="L89" s="390"/>
      <c r="M89" s="226">
        <f t="shared" si="15"/>
        <v>0</v>
      </c>
      <c r="N89" s="19" t="s">
        <v>751</v>
      </c>
    </row>
    <row r="90" spans="1:21" ht="35.1" customHeight="1" outlineLevel="1">
      <c r="A90" s="205"/>
      <c r="B90" s="205"/>
      <c r="C90" s="441" t="s">
        <v>433</v>
      </c>
      <c r="D90" s="428" t="s">
        <v>263</v>
      </c>
      <c r="E90" s="438" t="s">
        <v>215</v>
      </c>
      <c r="F90" s="254" t="s">
        <v>316</v>
      </c>
      <c r="G90" s="387" t="s">
        <v>84</v>
      </c>
      <c r="H90" s="388">
        <v>1</v>
      </c>
      <c r="I90" s="254">
        <f t="shared" ref="I90:I138" si="19">K90*21</f>
        <v>178.5</v>
      </c>
      <c r="J90" s="117">
        <f t="shared" si="16"/>
        <v>207.05999999999997</v>
      </c>
      <c r="K90" s="389">
        <f t="shared" ref="K90" si="20">L90*200%</f>
        <v>8.5</v>
      </c>
      <c r="L90" s="390">
        <v>4.25</v>
      </c>
      <c r="M90" s="226">
        <f t="shared" si="15"/>
        <v>85</v>
      </c>
      <c r="N90" s="19" t="s">
        <v>751</v>
      </c>
      <c r="O90"/>
    </row>
    <row r="91" spans="1:21" ht="35.1" customHeight="1" outlineLevel="1">
      <c r="A91" s="205"/>
      <c r="B91" s="205"/>
      <c r="C91" s="468" t="s">
        <v>433</v>
      </c>
      <c r="D91" s="428" t="s">
        <v>263</v>
      </c>
      <c r="E91" s="438" t="s">
        <v>216</v>
      </c>
      <c r="F91" s="254" t="s">
        <v>753</v>
      </c>
      <c r="G91" s="387" t="s">
        <v>754</v>
      </c>
      <c r="H91" s="388">
        <v>1</v>
      </c>
      <c r="I91" s="254">
        <f t="shared" si="19"/>
        <v>223.125</v>
      </c>
      <c r="J91" s="117">
        <f t="shared" si="16"/>
        <v>258.82499999999999</v>
      </c>
      <c r="K91" s="389">
        <f>L91*250%</f>
        <v>10.625</v>
      </c>
      <c r="L91" s="390">
        <v>4.25</v>
      </c>
      <c r="M91" s="226">
        <f t="shared" si="15"/>
        <v>85</v>
      </c>
      <c r="N91" s="19" t="s">
        <v>751</v>
      </c>
      <c r="O91"/>
    </row>
    <row r="92" spans="1:21" ht="35.1" customHeight="1" outlineLevel="1">
      <c r="A92" s="205"/>
      <c r="B92" s="205"/>
      <c r="C92" s="441" t="s">
        <v>433</v>
      </c>
      <c r="D92" s="428" t="s">
        <v>263</v>
      </c>
      <c r="E92" s="438" t="s">
        <v>223</v>
      </c>
      <c r="F92" s="254" t="s">
        <v>322</v>
      </c>
      <c r="G92" s="387" t="s">
        <v>426</v>
      </c>
      <c r="H92" s="388">
        <v>1</v>
      </c>
      <c r="I92" s="254">
        <f t="shared" si="19"/>
        <v>7161</v>
      </c>
      <c r="J92" s="117">
        <f t="shared" si="16"/>
        <v>8306.76</v>
      </c>
      <c r="K92" s="389">
        <f>L92</f>
        <v>341</v>
      </c>
      <c r="L92" s="390">
        <v>341</v>
      </c>
      <c r="M92" s="226">
        <f t="shared" si="15"/>
        <v>6820</v>
      </c>
      <c r="N92" s="19" t="s">
        <v>751</v>
      </c>
      <c r="O92"/>
    </row>
    <row r="93" spans="1:21" ht="35.1" customHeight="1" outlineLevel="1">
      <c r="A93" s="205"/>
      <c r="B93" s="205"/>
      <c r="C93" s="441" t="s">
        <v>433</v>
      </c>
      <c r="D93" s="428" t="s">
        <v>263</v>
      </c>
      <c r="E93" s="438" t="s">
        <v>224</v>
      </c>
      <c r="F93" s="254" t="s">
        <v>489</v>
      </c>
      <c r="G93" s="387" t="s">
        <v>427</v>
      </c>
      <c r="H93" s="388">
        <v>1</v>
      </c>
      <c r="I93" s="254">
        <f t="shared" si="19"/>
        <v>6867</v>
      </c>
      <c r="J93" s="117">
        <f t="shared" si="16"/>
        <v>7965.7199999999993</v>
      </c>
      <c r="K93" s="389">
        <f>L93</f>
        <v>327</v>
      </c>
      <c r="L93" s="390">
        <v>327</v>
      </c>
      <c r="M93" s="226">
        <f t="shared" si="15"/>
        <v>6540</v>
      </c>
      <c r="N93" s="19" t="s">
        <v>751</v>
      </c>
      <c r="O93"/>
    </row>
    <row r="94" spans="1:21" ht="35.1" customHeight="1" outlineLevel="1">
      <c r="A94" s="205"/>
      <c r="B94" s="205"/>
      <c r="C94" s="441" t="s">
        <v>433</v>
      </c>
      <c r="D94" s="428" t="s">
        <v>263</v>
      </c>
      <c r="E94" s="438" t="s">
        <v>225</v>
      </c>
      <c r="F94" s="254" t="s">
        <v>490</v>
      </c>
      <c r="G94" s="387" t="s">
        <v>5</v>
      </c>
      <c r="H94" s="388">
        <v>1</v>
      </c>
      <c r="I94" s="254">
        <f t="shared" si="19"/>
        <v>13944</v>
      </c>
      <c r="J94" s="117">
        <f t="shared" si="16"/>
        <v>16175.039999999999</v>
      </c>
      <c r="K94" s="389">
        <f>L94</f>
        <v>664</v>
      </c>
      <c r="L94" s="390">
        <v>664</v>
      </c>
      <c r="M94" s="226">
        <f t="shared" si="15"/>
        <v>13280</v>
      </c>
      <c r="N94" s="19" t="s">
        <v>751</v>
      </c>
      <c r="O94"/>
    </row>
    <row r="95" spans="1:21" s="19" customFormat="1" ht="35.1" customHeight="1" outlineLevel="1">
      <c r="A95" s="205"/>
      <c r="B95" s="205"/>
      <c r="C95" s="444">
        <f>D95*1.35</f>
        <v>3550.5000000000005</v>
      </c>
      <c r="D95" s="445">
        <v>2630</v>
      </c>
      <c r="E95" s="446" t="s">
        <v>459</v>
      </c>
      <c r="F95" s="254" t="s">
        <v>662</v>
      </c>
      <c r="G95" s="387" t="s">
        <v>663</v>
      </c>
      <c r="H95" s="388">
        <v>1</v>
      </c>
      <c r="I95" s="254">
        <f>K95*21</f>
        <v>3685.5</v>
      </c>
      <c r="J95" s="117">
        <f t="shared" si="16"/>
        <v>4275.1799999999994</v>
      </c>
      <c r="K95" s="389">
        <f>L95*1.35</f>
        <v>175.5</v>
      </c>
      <c r="L95" s="390">
        <v>130</v>
      </c>
      <c r="M95" s="226">
        <f t="shared" si="15"/>
        <v>2600</v>
      </c>
      <c r="N95" s="19" t="s">
        <v>751</v>
      </c>
    </row>
    <row r="96" spans="1:21" s="19" customFormat="1" ht="35.1" customHeight="1" outlineLevel="1">
      <c r="A96" s="205"/>
      <c r="B96" s="205"/>
      <c r="C96" s="444">
        <f t="shared" ref="C96:C98" si="21">D96*1.35</f>
        <v>4252.5</v>
      </c>
      <c r="D96" s="445">
        <v>3150</v>
      </c>
      <c r="E96" s="446" t="s">
        <v>459</v>
      </c>
      <c r="F96" s="254" t="s">
        <v>460</v>
      </c>
      <c r="G96" s="387" t="s">
        <v>461</v>
      </c>
      <c r="H96" s="388">
        <v>1</v>
      </c>
      <c r="I96" s="254">
        <f>K96*21</f>
        <v>4621.05</v>
      </c>
      <c r="J96" s="117">
        <f t="shared" si="16"/>
        <v>5360.4179999999997</v>
      </c>
      <c r="K96" s="389">
        <f t="shared" ref="K96:K99" si="22">L96*1.35</f>
        <v>220.05</v>
      </c>
      <c r="L96" s="390">
        <v>163</v>
      </c>
      <c r="M96" s="226">
        <f t="shared" si="15"/>
        <v>3260</v>
      </c>
      <c r="N96" s="19" t="s">
        <v>751</v>
      </c>
      <c r="O96"/>
    </row>
    <row r="97" spans="1:15" s="19" customFormat="1" ht="35.1" customHeight="1" outlineLevel="1">
      <c r="A97" s="205"/>
      <c r="B97" s="205"/>
      <c r="C97" s="444">
        <f t="shared" si="21"/>
        <v>4860</v>
      </c>
      <c r="D97" s="445">
        <v>3600</v>
      </c>
      <c r="E97" s="446" t="s">
        <v>459</v>
      </c>
      <c r="F97" s="254" t="s">
        <v>462</v>
      </c>
      <c r="G97" s="387" t="s">
        <v>463</v>
      </c>
      <c r="H97" s="388">
        <v>1</v>
      </c>
      <c r="I97" s="254">
        <f>K97*21</f>
        <v>5244.7500000000009</v>
      </c>
      <c r="J97" s="117">
        <f t="shared" si="16"/>
        <v>6083.9100000000008</v>
      </c>
      <c r="K97" s="389">
        <f t="shared" si="22"/>
        <v>249.75000000000003</v>
      </c>
      <c r="L97" s="390">
        <v>185</v>
      </c>
      <c r="M97" s="226">
        <f t="shared" si="15"/>
        <v>3700</v>
      </c>
      <c r="N97" s="19" t="s">
        <v>751</v>
      </c>
      <c r="O97"/>
    </row>
    <row r="98" spans="1:15" s="19" customFormat="1" ht="35.1" customHeight="1" outlineLevel="1">
      <c r="A98" s="205"/>
      <c r="B98" s="205"/>
      <c r="C98" s="444">
        <f t="shared" si="21"/>
        <v>5670</v>
      </c>
      <c r="D98" s="445">
        <v>4200</v>
      </c>
      <c r="E98" s="446" t="s">
        <v>459</v>
      </c>
      <c r="F98" s="254" t="s">
        <v>464</v>
      </c>
      <c r="G98" s="387" t="s">
        <v>465</v>
      </c>
      <c r="H98" s="388">
        <v>1</v>
      </c>
      <c r="I98" s="254">
        <f>K98*21</f>
        <v>6123.6</v>
      </c>
      <c r="J98" s="117">
        <f t="shared" si="16"/>
        <v>7103.3760000000002</v>
      </c>
      <c r="K98" s="389">
        <f t="shared" si="22"/>
        <v>291.60000000000002</v>
      </c>
      <c r="L98" s="390">
        <v>216</v>
      </c>
      <c r="M98" s="226">
        <f t="shared" si="15"/>
        <v>4320</v>
      </c>
      <c r="N98" s="19" t="s">
        <v>751</v>
      </c>
      <c r="O98"/>
    </row>
    <row r="99" spans="1:15" s="19" customFormat="1" ht="35.1" customHeight="1" outlineLevel="1">
      <c r="A99" s="205"/>
      <c r="B99" s="205"/>
      <c r="C99" s="444">
        <f>D99*1.55</f>
        <v>2292.4500000000003</v>
      </c>
      <c r="D99" s="445">
        <v>1479</v>
      </c>
      <c r="E99" s="446"/>
      <c r="F99" s="254" t="s">
        <v>665</v>
      </c>
      <c r="G99" s="387" t="s">
        <v>664</v>
      </c>
      <c r="H99" s="388">
        <v>1</v>
      </c>
      <c r="I99" s="254">
        <f>K99*21</f>
        <v>2551.5000000000005</v>
      </c>
      <c r="J99" s="117">
        <f t="shared" si="16"/>
        <v>2959.7400000000002</v>
      </c>
      <c r="K99" s="389">
        <f t="shared" si="22"/>
        <v>121.50000000000001</v>
      </c>
      <c r="L99" s="390">
        <v>90</v>
      </c>
      <c r="M99" s="226">
        <f t="shared" si="15"/>
        <v>1800</v>
      </c>
      <c r="N99" s="19" t="s">
        <v>751</v>
      </c>
    </row>
    <row r="100" spans="1:15" ht="35.1" customHeight="1" outlineLevel="1">
      <c r="A100" s="205"/>
      <c r="B100" s="205"/>
      <c r="C100" s="444" t="s">
        <v>448</v>
      </c>
      <c r="D100" s="428" t="s">
        <v>263</v>
      </c>
      <c r="E100" s="438" t="s">
        <v>12</v>
      </c>
      <c r="F100" s="254" t="s">
        <v>350</v>
      </c>
      <c r="G100" s="387" t="s">
        <v>13</v>
      </c>
      <c r="H100" s="388">
        <v>1</v>
      </c>
      <c r="I100" s="254">
        <f t="shared" si="19"/>
        <v>42840</v>
      </c>
      <c r="J100" s="117">
        <f t="shared" si="16"/>
        <v>49694.399999999994</v>
      </c>
      <c r="K100" s="389">
        <f t="shared" ref="K100:K105" si="23">L100</f>
        <v>2040</v>
      </c>
      <c r="L100" s="390">
        <v>2040</v>
      </c>
      <c r="M100" s="226">
        <f t="shared" si="15"/>
        <v>40800</v>
      </c>
      <c r="N100" s="19" t="s">
        <v>751</v>
      </c>
      <c r="O100"/>
    </row>
    <row r="101" spans="1:15" ht="35.1" customHeight="1" outlineLevel="1">
      <c r="A101" s="205"/>
      <c r="B101" s="205"/>
      <c r="C101" s="444" t="s">
        <v>448</v>
      </c>
      <c r="D101" s="428" t="s">
        <v>263</v>
      </c>
      <c r="E101" s="438" t="s">
        <v>14</v>
      </c>
      <c r="F101" s="254" t="s">
        <v>351</v>
      </c>
      <c r="G101" s="387" t="s">
        <v>15</v>
      </c>
      <c r="H101" s="388">
        <v>1</v>
      </c>
      <c r="I101" s="254">
        <f t="shared" si="19"/>
        <v>29862</v>
      </c>
      <c r="J101" s="117">
        <f t="shared" si="16"/>
        <v>34639.919999999998</v>
      </c>
      <c r="K101" s="389">
        <f t="shared" si="23"/>
        <v>1422</v>
      </c>
      <c r="L101" s="390">
        <v>1422</v>
      </c>
      <c r="M101" s="226">
        <f t="shared" si="15"/>
        <v>28440</v>
      </c>
      <c r="N101" s="19" t="s">
        <v>751</v>
      </c>
      <c r="O101"/>
    </row>
    <row r="102" spans="1:15" ht="35.1" customHeight="1" outlineLevel="1">
      <c r="A102" s="205"/>
      <c r="B102" s="205"/>
      <c r="C102" s="444" t="s">
        <v>448</v>
      </c>
      <c r="D102" s="428" t="s">
        <v>263</v>
      </c>
      <c r="E102" s="438" t="s">
        <v>51</v>
      </c>
      <c r="F102" s="254" t="s">
        <v>352</v>
      </c>
      <c r="G102" s="387" t="s">
        <v>16</v>
      </c>
      <c r="H102" s="388">
        <v>1</v>
      </c>
      <c r="I102" s="254">
        <f t="shared" si="19"/>
        <v>32340</v>
      </c>
      <c r="J102" s="117">
        <f t="shared" si="16"/>
        <v>37514.399999999994</v>
      </c>
      <c r="K102" s="389">
        <f t="shared" si="23"/>
        <v>1540</v>
      </c>
      <c r="L102" s="390">
        <v>1540</v>
      </c>
      <c r="M102" s="226">
        <f t="shared" si="15"/>
        <v>30800</v>
      </c>
      <c r="N102" s="19" t="s">
        <v>751</v>
      </c>
      <c r="O102"/>
    </row>
    <row r="103" spans="1:15" ht="35.1" customHeight="1" outlineLevel="1">
      <c r="A103" s="205"/>
      <c r="B103" s="205"/>
      <c r="C103" s="444" t="s">
        <v>448</v>
      </c>
      <c r="D103" s="428" t="s">
        <v>263</v>
      </c>
      <c r="E103" s="438" t="s">
        <v>17</v>
      </c>
      <c r="F103" s="254" t="s">
        <v>353</v>
      </c>
      <c r="G103" s="387" t="s">
        <v>18</v>
      </c>
      <c r="H103" s="388">
        <v>1</v>
      </c>
      <c r="I103" s="254">
        <f t="shared" si="19"/>
        <v>57309</v>
      </c>
      <c r="J103" s="117">
        <f t="shared" si="16"/>
        <v>66478.44</v>
      </c>
      <c r="K103" s="389">
        <f t="shared" si="23"/>
        <v>2729</v>
      </c>
      <c r="L103" s="390">
        <v>2729</v>
      </c>
      <c r="M103" s="226">
        <f t="shared" si="15"/>
        <v>54580</v>
      </c>
      <c r="N103" s="19" t="s">
        <v>751</v>
      </c>
      <c r="O103"/>
    </row>
    <row r="104" spans="1:15" ht="35.1" customHeight="1" outlineLevel="1">
      <c r="A104" s="205"/>
      <c r="B104" s="205"/>
      <c r="C104" s="444" t="s">
        <v>448</v>
      </c>
      <c r="D104" s="428" t="s">
        <v>263</v>
      </c>
      <c r="E104" s="438" t="s">
        <v>19</v>
      </c>
      <c r="F104" s="254" t="s">
        <v>354</v>
      </c>
      <c r="G104" s="387" t="s">
        <v>20</v>
      </c>
      <c r="H104" s="388">
        <v>1</v>
      </c>
      <c r="I104" s="254">
        <f t="shared" si="19"/>
        <v>38913</v>
      </c>
      <c r="J104" s="117">
        <f t="shared" si="16"/>
        <v>45139.079999999994</v>
      </c>
      <c r="K104" s="389">
        <f t="shared" si="23"/>
        <v>1853</v>
      </c>
      <c r="L104" s="390">
        <v>1853</v>
      </c>
      <c r="M104" s="226">
        <f t="shared" si="15"/>
        <v>37060</v>
      </c>
      <c r="N104" s="19" t="s">
        <v>751</v>
      </c>
      <c r="O104"/>
    </row>
    <row r="105" spans="1:15" ht="35.1" customHeight="1" outlineLevel="1">
      <c r="A105" s="205"/>
      <c r="B105" s="205"/>
      <c r="C105" s="444" t="s">
        <v>448</v>
      </c>
      <c r="D105" s="428" t="s">
        <v>263</v>
      </c>
      <c r="E105" s="438" t="s">
        <v>52</v>
      </c>
      <c r="F105" s="254" t="s">
        <v>355</v>
      </c>
      <c r="G105" s="387" t="s">
        <v>21</v>
      </c>
      <c r="H105" s="388">
        <v>1</v>
      </c>
      <c r="I105" s="254">
        <f t="shared" si="19"/>
        <v>51576</v>
      </c>
      <c r="J105" s="117">
        <f t="shared" si="16"/>
        <v>59828.159999999996</v>
      </c>
      <c r="K105" s="389">
        <f t="shared" si="23"/>
        <v>2456</v>
      </c>
      <c r="L105" s="390">
        <v>2456</v>
      </c>
      <c r="M105" s="226">
        <f t="shared" si="15"/>
        <v>49120</v>
      </c>
      <c r="N105" s="19" t="s">
        <v>751</v>
      </c>
      <c r="O105"/>
    </row>
    <row r="106" spans="1:15" ht="35.1" customHeight="1" outlineLevel="1">
      <c r="A106" s="205"/>
      <c r="B106" s="205"/>
      <c r="C106" s="444" t="s">
        <v>448</v>
      </c>
      <c r="D106" s="428" t="s">
        <v>263</v>
      </c>
      <c r="E106" s="438" t="s">
        <v>22</v>
      </c>
      <c r="F106" s="254" t="s">
        <v>356</v>
      </c>
      <c r="G106" s="387" t="s">
        <v>23</v>
      </c>
      <c r="H106" s="388">
        <v>1</v>
      </c>
      <c r="I106" s="254">
        <f t="shared" si="19"/>
        <v>14041.44</v>
      </c>
      <c r="J106" s="117">
        <f t="shared" si="16"/>
        <v>16288.070399999999</v>
      </c>
      <c r="K106" s="389">
        <f>L106*1.99</f>
        <v>668.64</v>
      </c>
      <c r="L106" s="390">
        <v>336</v>
      </c>
      <c r="M106" s="226">
        <f t="shared" si="15"/>
        <v>6720</v>
      </c>
      <c r="N106" s="19" t="s">
        <v>751</v>
      </c>
      <c r="O106"/>
    </row>
    <row r="107" spans="1:15" ht="35.1" customHeight="1" outlineLevel="1">
      <c r="A107" s="205"/>
      <c r="B107" s="205"/>
      <c r="C107" s="444" t="s">
        <v>448</v>
      </c>
      <c r="D107" s="428" t="s">
        <v>263</v>
      </c>
      <c r="E107" s="438" t="s">
        <v>24</v>
      </c>
      <c r="F107" s="254" t="s">
        <v>357</v>
      </c>
      <c r="G107" s="387" t="s">
        <v>25</v>
      </c>
      <c r="H107" s="388">
        <v>1</v>
      </c>
      <c r="I107" s="254">
        <f t="shared" si="19"/>
        <v>17844.330000000002</v>
      </c>
      <c r="J107" s="117">
        <f t="shared" si="16"/>
        <v>20699.4228</v>
      </c>
      <c r="K107" s="389">
        <f>L107*1.99</f>
        <v>849.73</v>
      </c>
      <c r="L107" s="390">
        <v>427</v>
      </c>
      <c r="M107" s="226">
        <f t="shared" si="15"/>
        <v>8540</v>
      </c>
      <c r="N107" s="19" t="s">
        <v>751</v>
      </c>
      <c r="O107"/>
    </row>
    <row r="108" spans="1:15" s="291" customFormat="1" ht="35.1" customHeight="1" outlineLevel="1">
      <c r="A108" s="205"/>
      <c r="B108" s="205"/>
      <c r="C108" s="444"/>
      <c r="D108" s="442"/>
      <c r="E108" s="443"/>
      <c r="F108" s="254"/>
      <c r="G108" s="387"/>
      <c r="H108" s="388"/>
      <c r="I108" s="254"/>
      <c r="J108" s="117"/>
      <c r="K108" s="389"/>
      <c r="L108" s="390"/>
      <c r="M108" s="226">
        <f t="shared" si="15"/>
        <v>0</v>
      </c>
      <c r="N108" s="19" t="s">
        <v>751</v>
      </c>
    </row>
    <row r="109" spans="1:15" ht="35.1" customHeight="1">
      <c r="A109" s="205"/>
      <c r="B109" s="205"/>
      <c r="C109" s="447" t="s">
        <v>445</v>
      </c>
      <c r="D109" s="428" t="s">
        <v>259</v>
      </c>
      <c r="E109" s="438" t="s">
        <v>303</v>
      </c>
      <c r="F109" s="254" t="s">
        <v>303</v>
      </c>
      <c r="G109" s="387" t="s">
        <v>150</v>
      </c>
      <c r="H109" s="388">
        <v>1</v>
      </c>
      <c r="I109" s="254">
        <f t="shared" si="19"/>
        <v>441</v>
      </c>
      <c r="J109" s="117">
        <f t="shared" si="16"/>
        <v>511.55999999999995</v>
      </c>
      <c r="K109" s="389">
        <f t="shared" ref="K109:K115" si="24">L109</f>
        <v>21</v>
      </c>
      <c r="L109" s="390">
        <v>21</v>
      </c>
      <c r="M109" s="226">
        <f t="shared" si="15"/>
        <v>420</v>
      </c>
      <c r="N109" s="19" t="s">
        <v>751</v>
      </c>
      <c r="O109"/>
    </row>
    <row r="110" spans="1:15" s="209" customFormat="1" ht="35.1" customHeight="1" outlineLevel="1">
      <c r="A110" s="205"/>
      <c r="B110" s="205"/>
      <c r="C110" s="447" t="s">
        <v>445</v>
      </c>
      <c r="D110" s="448" t="s">
        <v>260</v>
      </c>
      <c r="E110" s="449" t="s">
        <v>303</v>
      </c>
      <c r="F110" s="254" t="s">
        <v>509</v>
      </c>
      <c r="G110" s="387" t="s">
        <v>595</v>
      </c>
      <c r="H110" s="388">
        <v>1</v>
      </c>
      <c r="I110" s="254">
        <f t="shared" si="19"/>
        <v>399</v>
      </c>
      <c r="J110" s="117">
        <f t="shared" si="16"/>
        <v>462.84</v>
      </c>
      <c r="K110" s="389">
        <f t="shared" si="24"/>
        <v>19</v>
      </c>
      <c r="L110" s="390">
        <v>19</v>
      </c>
      <c r="M110" s="226">
        <f t="shared" si="15"/>
        <v>380</v>
      </c>
      <c r="N110" s="19" t="s">
        <v>751</v>
      </c>
    </row>
    <row r="111" spans="1:15" s="209" customFormat="1" ht="35.1" customHeight="1" outlineLevel="1">
      <c r="A111" s="205"/>
      <c r="B111" s="205"/>
      <c r="C111" s="447" t="s">
        <v>445</v>
      </c>
      <c r="D111" s="448" t="s">
        <v>260</v>
      </c>
      <c r="E111" s="449" t="s">
        <v>303</v>
      </c>
      <c r="F111" s="254" t="s">
        <v>305</v>
      </c>
      <c r="G111" s="387" t="s">
        <v>150</v>
      </c>
      <c r="H111" s="388">
        <v>1</v>
      </c>
      <c r="I111" s="254">
        <f t="shared" si="19"/>
        <v>399</v>
      </c>
      <c r="J111" s="117">
        <f t="shared" si="16"/>
        <v>462.84</v>
      </c>
      <c r="K111" s="389">
        <f t="shared" si="24"/>
        <v>19</v>
      </c>
      <c r="L111" s="390">
        <v>19</v>
      </c>
      <c r="M111" s="226">
        <f t="shared" si="15"/>
        <v>380</v>
      </c>
      <c r="N111" s="19" t="s">
        <v>751</v>
      </c>
    </row>
    <row r="112" spans="1:15" ht="35.1" customHeight="1">
      <c r="A112" s="205"/>
      <c r="B112" s="205"/>
      <c r="C112" s="447" t="s">
        <v>441</v>
      </c>
      <c r="D112" s="428" t="s">
        <v>268</v>
      </c>
      <c r="E112" s="438" t="s">
        <v>234</v>
      </c>
      <c r="F112" s="254" t="s">
        <v>234</v>
      </c>
      <c r="G112" s="387" t="s">
        <v>722</v>
      </c>
      <c r="H112" s="388">
        <v>1</v>
      </c>
      <c r="I112" s="254">
        <f t="shared" si="19"/>
        <v>1575</v>
      </c>
      <c r="J112" s="117">
        <f t="shared" si="16"/>
        <v>1826.9999999999998</v>
      </c>
      <c r="K112" s="389">
        <f t="shared" si="24"/>
        <v>75</v>
      </c>
      <c r="L112" s="390">
        <v>75</v>
      </c>
      <c r="M112" s="226">
        <f t="shared" si="15"/>
        <v>1500</v>
      </c>
      <c r="N112" s="19" t="s">
        <v>751</v>
      </c>
    </row>
    <row r="113" spans="1:14" ht="35.1" customHeight="1" outlineLevel="1">
      <c r="A113" s="205"/>
      <c r="B113" s="205"/>
      <c r="C113" s="447" t="s">
        <v>441</v>
      </c>
      <c r="D113" s="428" t="s">
        <v>268</v>
      </c>
      <c r="E113" s="438" t="s">
        <v>235</v>
      </c>
      <c r="F113" s="254" t="s">
        <v>235</v>
      </c>
      <c r="G113" s="387" t="s">
        <v>723</v>
      </c>
      <c r="H113" s="388">
        <v>1</v>
      </c>
      <c r="I113" s="254">
        <f t="shared" si="19"/>
        <v>1995</v>
      </c>
      <c r="J113" s="117">
        <f t="shared" si="16"/>
        <v>2314.1999999999998</v>
      </c>
      <c r="K113" s="389">
        <f t="shared" si="24"/>
        <v>95</v>
      </c>
      <c r="L113" s="390">
        <v>95</v>
      </c>
      <c r="M113" s="226">
        <f t="shared" si="15"/>
        <v>1900</v>
      </c>
      <c r="N113" s="19" t="s">
        <v>751</v>
      </c>
    </row>
    <row r="114" spans="1:14" ht="35.1" customHeight="1" outlineLevel="1">
      <c r="A114" s="205"/>
      <c r="B114" s="205"/>
      <c r="C114" s="447" t="s">
        <v>441</v>
      </c>
      <c r="D114" s="428" t="s">
        <v>268</v>
      </c>
      <c r="E114" s="438" t="s">
        <v>236</v>
      </c>
      <c r="F114" s="254" t="s">
        <v>236</v>
      </c>
      <c r="G114" s="387" t="s">
        <v>724</v>
      </c>
      <c r="H114" s="388">
        <v>1</v>
      </c>
      <c r="I114" s="254">
        <f t="shared" si="19"/>
        <v>2625</v>
      </c>
      <c r="J114" s="117">
        <f t="shared" si="16"/>
        <v>3045</v>
      </c>
      <c r="K114" s="389">
        <f t="shared" si="24"/>
        <v>125</v>
      </c>
      <c r="L114" s="390">
        <v>125</v>
      </c>
      <c r="M114" s="226">
        <f t="shared" si="15"/>
        <v>2500</v>
      </c>
      <c r="N114" s="19" t="s">
        <v>751</v>
      </c>
    </row>
    <row r="115" spans="1:14" ht="35.1" customHeight="1" outlineLevel="1">
      <c r="A115" s="205"/>
      <c r="B115" s="205"/>
      <c r="C115" s="447" t="s">
        <v>441</v>
      </c>
      <c r="D115" s="428" t="s">
        <v>268</v>
      </c>
      <c r="E115" s="438" t="s">
        <v>237</v>
      </c>
      <c r="F115" s="254" t="s">
        <v>237</v>
      </c>
      <c r="G115" s="387" t="s">
        <v>725</v>
      </c>
      <c r="H115" s="388">
        <v>1</v>
      </c>
      <c r="I115" s="254">
        <f t="shared" si="19"/>
        <v>3045</v>
      </c>
      <c r="J115" s="117">
        <f t="shared" si="16"/>
        <v>3532.2</v>
      </c>
      <c r="K115" s="389">
        <f t="shared" si="24"/>
        <v>145</v>
      </c>
      <c r="L115" s="390">
        <v>145</v>
      </c>
      <c r="M115" s="226">
        <f t="shared" si="15"/>
        <v>2900</v>
      </c>
      <c r="N115" s="19" t="s">
        <v>751</v>
      </c>
    </row>
    <row r="116" spans="1:14" ht="35.1" customHeight="1" outlineLevel="1">
      <c r="A116" s="205"/>
      <c r="B116" s="205"/>
      <c r="C116" s="447" t="s">
        <v>441</v>
      </c>
      <c r="D116" s="428" t="s">
        <v>268</v>
      </c>
      <c r="E116" s="438" t="s">
        <v>238</v>
      </c>
      <c r="F116" s="254" t="s">
        <v>238</v>
      </c>
      <c r="G116" s="387" t="s">
        <v>726</v>
      </c>
      <c r="H116" s="388">
        <v>1</v>
      </c>
      <c r="I116" s="254">
        <f t="shared" si="19"/>
        <v>3811.5000000000005</v>
      </c>
      <c r="J116" s="117">
        <f t="shared" si="16"/>
        <v>4421.34</v>
      </c>
      <c r="K116" s="389">
        <f>L116*1.1</f>
        <v>181.50000000000003</v>
      </c>
      <c r="L116" s="390">
        <v>165</v>
      </c>
      <c r="M116" s="226">
        <f t="shared" si="15"/>
        <v>3300</v>
      </c>
      <c r="N116" s="19" t="s">
        <v>751</v>
      </c>
    </row>
    <row r="117" spans="1:14" ht="35.1" customHeight="1" outlineLevel="1">
      <c r="A117" s="205"/>
      <c r="B117" s="205"/>
      <c r="C117" s="447" t="s">
        <v>441</v>
      </c>
      <c r="D117" s="428" t="s">
        <v>268</v>
      </c>
      <c r="E117" s="438" t="s">
        <v>239</v>
      </c>
      <c r="F117" s="254" t="s">
        <v>239</v>
      </c>
      <c r="G117" s="387" t="s">
        <v>727</v>
      </c>
      <c r="H117" s="388">
        <v>1</v>
      </c>
      <c r="I117" s="254">
        <f t="shared" si="19"/>
        <v>4273.5000000000009</v>
      </c>
      <c r="J117" s="117">
        <f t="shared" si="16"/>
        <v>4957.2600000000011</v>
      </c>
      <c r="K117" s="389">
        <f>L117*1.1</f>
        <v>203.50000000000003</v>
      </c>
      <c r="L117" s="390">
        <v>185</v>
      </c>
      <c r="M117" s="226">
        <f t="shared" si="15"/>
        <v>3700</v>
      </c>
      <c r="N117" s="19" t="s">
        <v>751</v>
      </c>
    </row>
    <row r="118" spans="1:14" ht="35.1" customHeight="1" outlineLevel="1">
      <c r="A118" s="205"/>
      <c r="B118" s="205"/>
      <c r="C118" s="447" t="s">
        <v>441</v>
      </c>
      <c r="D118" s="428" t="s">
        <v>268</v>
      </c>
      <c r="E118" s="438" t="s">
        <v>240</v>
      </c>
      <c r="F118" s="254" t="s">
        <v>240</v>
      </c>
      <c r="G118" s="387" t="s">
        <v>728</v>
      </c>
      <c r="H118" s="388">
        <v>1</v>
      </c>
      <c r="I118" s="254">
        <f t="shared" si="19"/>
        <v>4735.5000000000009</v>
      </c>
      <c r="J118" s="117">
        <f t="shared" si="16"/>
        <v>5493.18</v>
      </c>
      <c r="K118" s="389">
        <f>L118*1.1</f>
        <v>225.50000000000003</v>
      </c>
      <c r="L118" s="390">
        <v>205</v>
      </c>
      <c r="M118" s="226">
        <f t="shared" si="15"/>
        <v>4100</v>
      </c>
      <c r="N118" s="19" t="s">
        <v>751</v>
      </c>
    </row>
    <row r="119" spans="1:14" s="301" customFormat="1" ht="35.1" customHeight="1" outlineLevel="1">
      <c r="A119" s="205"/>
      <c r="B119" s="205"/>
      <c r="C119" s="447"/>
      <c r="D119" s="428"/>
      <c r="E119" s="438"/>
      <c r="F119" s="254"/>
      <c r="G119" s="387"/>
      <c r="H119" s="388"/>
      <c r="I119" s="254"/>
      <c r="J119" s="117"/>
      <c r="K119" s="389"/>
      <c r="L119" s="390"/>
      <c r="M119" s="226">
        <f t="shared" si="15"/>
        <v>0</v>
      </c>
      <c r="N119" s="19" t="s">
        <v>751</v>
      </c>
    </row>
    <row r="120" spans="1:14" ht="35.1" customHeight="1">
      <c r="A120" s="205"/>
      <c r="B120" s="205"/>
      <c r="C120" s="447" t="s">
        <v>491</v>
      </c>
      <c r="D120" s="428" t="s">
        <v>268</v>
      </c>
      <c r="E120" s="438" t="s">
        <v>266</v>
      </c>
      <c r="F120" s="254" t="s">
        <v>323</v>
      </c>
      <c r="G120" s="387" t="s">
        <v>6</v>
      </c>
      <c r="H120" s="388">
        <v>1</v>
      </c>
      <c r="I120" s="254">
        <f t="shared" si="19"/>
        <v>525</v>
      </c>
      <c r="J120" s="117">
        <f t="shared" si="16"/>
        <v>609</v>
      </c>
      <c r="K120" s="389">
        <f>L120</f>
        <v>25</v>
      </c>
      <c r="L120" s="390">
        <v>25</v>
      </c>
      <c r="M120" s="226">
        <f t="shared" si="15"/>
        <v>500</v>
      </c>
      <c r="N120" s="19" t="s">
        <v>751</v>
      </c>
    </row>
    <row r="121" spans="1:14" ht="35.1" customHeight="1" outlineLevel="1">
      <c r="A121" s="205"/>
      <c r="B121" s="205"/>
      <c r="C121" s="447" t="s">
        <v>491</v>
      </c>
      <c r="D121" s="428" t="s">
        <v>268</v>
      </c>
      <c r="E121" s="438" t="s">
        <v>241</v>
      </c>
      <c r="F121" s="254" t="s">
        <v>337</v>
      </c>
      <c r="G121" s="387" t="s">
        <v>729</v>
      </c>
      <c r="H121" s="388">
        <v>1</v>
      </c>
      <c r="I121" s="254">
        <f t="shared" si="19"/>
        <v>945</v>
      </c>
      <c r="J121" s="117">
        <f t="shared" si="16"/>
        <v>1096.1999999999998</v>
      </c>
      <c r="K121" s="389">
        <f t="shared" ref="K121:K126" si="25">L121</f>
        <v>45</v>
      </c>
      <c r="L121" s="390">
        <v>45</v>
      </c>
      <c r="M121" s="226">
        <f t="shared" si="15"/>
        <v>900</v>
      </c>
      <c r="N121" s="19" t="s">
        <v>751</v>
      </c>
    </row>
    <row r="122" spans="1:14" ht="35.1" customHeight="1" outlineLevel="1">
      <c r="A122" s="205"/>
      <c r="B122" s="205"/>
      <c r="C122" s="447" t="s">
        <v>491</v>
      </c>
      <c r="D122" s="428" t="s">
        <v>268</v>
      </c>
      <c r="E122" s="438" t="s">
        <v>242</v>
      </c>
      <c r="F122" s="254" t="s">
        <v>334</v>
      </c>
      <c r="G122" s="387" t="s">
        <v>730</v>
      </c>
      <c r="H122" s="388">
        <v>1</v>
      </c>
      <c r="I122" s="254">
        <f t="shared" si="19"/>
        <v>1365</v>
      </c>
      <c r="J122" s="117">
        <f t="shared" si="16"/>
        <v>1583.3999999999999</v>
      </c>
      <c r="K122" s="389">
        <f t="shared" si="25"/>
        <v>65</v>
      </c>
      <c r="L122" s="390">
        <v>65</v>
      </c>
      <c r="M122" s="226">
        <f t="shared" si="15"/>
        <v>1300</v>
      </c>
      <c r="N122" s="19" t="s">
        <v>751</v>
      </c>
    </row>
    <row r="123" spans="1:14" ht="35.1" customHeight="1" outlineLevel="1">
      <c r="A123" s="205"/>
      <c r="B123" s="205"/>
      <c r="C123" s="447" t="s">
        <v>491</v>
      </c>
      <c r="D123" s="428" t="s">
        <v>268</v>
      </c>
      <c r="E123" s="438" t="s">
        <v>243</v>
      </c>
      <c r="F123" s="254" t="s">
        <v>335</v>
      </c>
      <c r="G123" s="387" t="s">
        <v>731</v>
      </c>
      <c r="H123" s="388">
        <v>1</v>
      </c>
      <c r="I123" s="254">
        <f t="shared" si="19"/>
        <v>1785</v>
      </c>
      <c r="J123" s="117">
        <f t="shared" si="16"/>
        <v>2070.6</v>
      </c>
      <c r="K123" s="389">
        <f t="shared" si="25"/>
        <v>85</v>
      </c>
      <c r="L123" s="390">
        <v>85</v>
      </c>
      <c r="M123" s="226">
        <f t="shared" si="15"/>
        <v>1700</v>
      </c>
      <c r="N123" s="19" t="s">
        <v>751</v>
      </c>
    </row>
    <row r="124" spans="1:14" ht="35.1" customHeight="1" outlineLevel="1">
      <c r="A124" s="205"/>
      <c r="B124" s="205"/>
      <c r="C124" s="447" t="s">
        <v>491</v>
      </c>
      <c r="D124" s="428" t="s">
        <v>268</v>
      </c>
      <c r="E124" s="438" t="s">
        <v>244</v>
      </c>
      <c r="F124" s="254" t="s">
        <v>336</v>
      </c>
      <c r="G124" s="387" t="s">
        <v>732</v>
      </c>
      <c r="H124" s="388">
        <v>1</v>
      </c>
      <c r="I124" s="254">
        <f t="shared" si="19"/>
        <v>2205</v>
      </c>
      <c r="J124" s="117">
        <f t="shared" si="16"/>
        <v>2557.7999999999997</v>
      </c>
      <c r="K124" s="389">
        <f t="shared" si="25"/>
        <v>105</v>
      </c>
      <c r="L124" s="390">
        <v>105</v>
      </c>
      <c r="M124" s="226">
        <f t="shared" si="15"/>
        <v>2100</v>
      </c>
      <c r="N124" s="19" t="s">
        <v>751</v>
      </c>
    </row>
    <row r="125" spans="1:14" ht="35.1" customHeight="1" outlineLevel="1">
      <c r="A125" s="205"/>
      <c r="B125" s="205"/>
      <c r="C125" s="447" t="s">
        <v>491</v>
      </c>
      <c r="D125" s="428" t="s">
        <v>268</v>
      </c>
      <c r="E125" s="438" t="s">
        <v>246</v>
      </c>
      <c r="F125" s="254" t="s">
        <v>338</v>
      </c>
      <c r="G125" s="387" t="s">
        <v>733</v>
      </c>
      <c r="H125" s="388">
        <v>1</v>
      </c>
      <c r="I125" s="254">
        <f t="shared" si="19"/>
        <v>945</v>
      </c>
      <c r="J125" s="117">
        <f t="shared" si="16"/>
        <v>1096.1999999999998</v>
      </c>
      <c r="K125" s="389">
        <f t="shared" si="25"/>
        <v>45</v>
      </c>
      <c r="L125" s="390">
        <v>45</v>
      </c>
      <c r="M125" s="226">
        <f t="shared" si="15"/>
        <v>900</v>
      </c>
      <c r="N125" s="19" t="s">
        <v>751</v>
      </c>
    </row>
    <row r="126" spans="1:14" ht="35.1" customHeight="1" outlineLevel="1">
      <c r="A126" s="205"/>
      <c r="B126" s="205"/>
      <c r="C126" s="447" t="s">
        <v>491</v>
      </c>
      <c r="D126" s="428" t="s">
        <v>268</v>
      </c>
      <c r="E126" s="438" t="s">
        <v>245</v>
      </c>
      <c r="F126" s="254" t="s">
        <v>339</v>
      </c>
      <c r="G126" s="387" t="s">
        <v>734</v>
      </c>
      <c r="H126" s="388">
        <v>1</v>
      </c>
      <c r="I126" s="254">
        <f t="shared" si="19"/>
        <v>1260</v>
      </c>
      <c r="J126" s="117">
        <f t="shared" si="16"/>
        <v>1461.6</v>
      </c>
      <c r="K126" s="389">
        <f t="shared" si="25"/>
        <v>60</v>
      </c>
      <c r="L126" s="390">
        <v>60</v>
      </c>
      <c r="M126" s="226">
        <f t="shared" si="15"/>
        <v>1200</v>
      </c>
      <c r="N126" s="19" t="s">
        <v>751</v>
      </c>
    </row>
    <row r="127" spans="1:14" ht="35.1" customHeight="1" outlineLevel="1">
      <c r="A127" s="205"/>
      <c r="B127" s="205"/>
      <c r="C127" s="447" t="s">
        <v>491</v>
      </c>
      <c r="D127" s="428" t="s">
        <v>268</v>
      </c>
      <c r="E127" s="438" t="s">
        <v>247</v>
      </c>
      <c r="F127" s="254" t="s">
        <v>340</v>
      </c>
      <c r="G127" s="387" t="s">
        <v>735</v>
      </c>
      <c r="H127" s="388">
        <v>1</v>
      </c>
      <c r="I127" s="254">
        <f t="shared" si="19"/>
        <v>2940</v>
      </c>
      <c r="J127" s="117">
        <f t="shared" si="16"/>
        <v>3410.3999999999996</v>
      </c>
      <c r="K127" s="389">
        <f>L127*1.75</f>
        <v>140</v>
      </c>
      <c r="L127" s="390">
        <v>80</v>
      </c>
      <c r="M127" s="226">
        <f t="shared" si="15"/>
        <v>1600</v>
      </c>
      <c r="N127" s="19" t="s">
        <v>751</v>
      </c>
    </row>
    <row r="128" spans="1:14" ht="35.1" customHeight="1" outlineLevel="1">
      <c r="A128" s="205"/>
      <c r="B128" s="205"/>
      <c r="C128" s="447" t="s">
        <v>491</v>
      </c>
      <c r="D128" s="428" t="s">
        <v>268</v>
      </c>
      <c r="E128" s="438" t="s">
        <v>248</v>
      </c>
      <c r="F128" s="254" t="s">
        <v>341</v>
      </c>
      <c r="G128" s="387" t="s">
        <v>736</v>
      </c>
      <c r="H128" s="388">
        <v>1</v>
      </c>
      <c r="I128" s="254">
        <f t="shared" si="19"/>
        <v>3675</v>
      </c>
      <c r="J128" s="117">
        <f t="shared" si="16"/>
        <v>4263</v>
      </c>
      <c r="K128" s="389">
        <f>L128*1.75</f>
        <v>175</v>
      </c>
      <c r="L128" s="390">
        <v>100</v>
      </c>
      <c r="M128" s="226">
        <f t="shared" si="15"/>
        <v>2000</v>
      </c>
      <c r="N128" s="19" t="s">
        <v>751</v>
      </c>
    </row>
    <row r="129" spans="1:14" ht="35.1" customHeight="1">
      <c r="A129" s="205"/>
      <c r="B129" s="205"/>
      <c r="C129" s="447" t="s">
        <v>442</v>
      </c>
      <c r="D129" s="428" t="s">
        <v>268</v>
      </c>
      <c r="E129" s="450" t="s">
        <v>249</v>
      </c>
      <c r="F129" s="254" t="s">
        <v>342</v>
      </c>
      <c r="G129" s="387" t="s">
        <v>737</v>
      </c>
      <c r="H129" s="388">
        <v>1</v>
      </c>
      <c r="I129" s="254">
        <f t="shared" si="19"/>
        <v>1443.75</v>
      </c>
      <c r="J129" s="117">
        <f t="shared" si="16"/>
        <v>1674.7499999999998</v>
      </c>
      <c r="K129" s="389">
        <f>L129*1.25</f>
        <v>68.75</v>
      </c>
      <c r="L129" s="390">
        <v>55</v>
      </c>
      <c r="M129" s="226">
        <f t="shared" si="15"/>
        <v>1100</v>
      </c>
      <c r="N129" s="19" t="s">
        <v>751</v>
      </c>
    </row>
    <row r="130" spans="1:14" ht="35.1" customHeight="1" outlineLevel="1">
      <c r="A130" s="205"/>
      <c r="B130" s="205"/>
      <c r="C130" s="447" t="s">
        <v>442</v>
      </c>
      <c r="D130" s="428" t="s">
        <v>268</v>
      </c>
      <c r="E130" s="450" t="s">
        <v>250</v>
      </c>
      <c r="F130" s="254" t="s">
        <v>343</v>
      </c>
      <c r="G130" s="387" t="s">
        <v>738</v>
      </c>
      <c r="H130" s="388">
        <v>1</v>
      </c>
      <c r="I130" s="254">
        <f t="shared" si="19"/>
        <v>2756.25</v>
      </c>
      <c r="J130" s="117">
        <f t="shared" si="16"/>
        <v>3197.25</v>
      </c>
      <c r="K130" s="389">
        <f t="shared" ref="K130:K137" si="26">L130*1.75</f>
        <v>131.25</v>
      </c>
      <c r="L130" s="390">
        <v>75</v>
      </c>
      <c r="M130" s="226">
        <f t="shared" si="15"/>
        <v>1500</v>
      </c>
      <c r="N130" s="19" t="s">
        <v>751</v>
      </c>
    </row>
    <row r="131" spans="1:14" ht="35.1" customHeight="1" outlineLevel="1">
      <c r="A131" s="205"/>
      <c r="B131" s="205"/>
      <c r="C131" s="447" t="s">
        <v>442</v>
      </c>
      <c r="D131" s="428" t="s">
        <v>268</v>
      </c>
      <c r="E131" s="450" t="s">
        <v>251</v>
      </c>
      <c r="F131" s="254" t="s">
        <v>344</v>
      </c>
      <c r="G131" s="387" t="s">
        <v>739</v>
      </c>
      <c r="H131" s="388">
        <v>1</v>
      </c>
      <c r="I131" s="254">
        <f t="shared" si="19"/>
        <v>3491.25</v>
      </c>
      <c r="J131" s="117">
        <f t="shared" si="16"/>
        <v>4049.85</v>
      </c>
      <c r="K131" s="389">
        <f t="shared" si="26"/>
        <v>166.25</v>
      </c>
      <c r="L131" s="390">
        <v>95</v>
      </c>
      <c r="M131" s="226">
        <f t="shared" si="15"/>
        <v>1900</v>
      </c>
      <c r="N131" s="19" t="s">
        <v>751</v>
      </c>
    </row>
    <row r="132" spans="1:14" ht="35.1" customHeight="1" outlineLevel="1">
      <c r="A132" s="205"/>
      <c r="B132" s="205"/>
      <c r="C132" s="447" t="s">
        <v>442</v>
      </c>
      <c r="D132" s="428" t="s">
        <v>268</v>
      </c>
      <c r="E132" s="450" t="s">
        <v>252</v>
      </c>
      <c r="F132" s="254" t="s">
        <v>345</v>
      </c>
      <c r="G132" s="387" t="s">
        <v>740</v>
      </c>
      <c r="H132" s="388">
        <v>1</v>
      </c>
      <c r="I132" s="254">
        <f t="shared" si="19"/>
        <v>4593.75</v>
      </c>
      <c r="J132" s="117">
        <f t="shared" si="16"/>
        <v>5328.75</v>
      </c>
      <c r="K132" s="389">
        <f t="shared" si="26"/>
        <v>218.75</v>
      </c>
      <c r="L132" s="390">
        <v>125</v>
      </c>
      <c r="M132" s="226">
        <f t="shared" ref="M132:M195" si="27">L132*20</f>
        <v>2500</v>
      </c>
      <c r="N132" s="19" t="s">
        <v>751</v>
      </c>
    </row>
    <row r="133" spans="1:14" ht="35.1" customHeight="1" outlineLevel="1">
      <c r="A133" s="205"/>
      <c r="B133" s="205"/>
      <c r="C133" s="447" t="s">
        <v>442</v>
      </c>
      <c r="D133" s="428" t="s">
        <v>268</v>
      </c>
      <c r="E133" s="450" t="s">
        <v>253</v>
      </c>
      <c r="F133" s="254" t="s">
        <v>346</v>
      </c>
      <c r="G133" s="387" t="s">
        <v>741</v>
      </c>
      <c r="H133" s="388">
        <v>1</v>
      </c>
      <c r="I133" s="254">
        <f t="shared" si="19"/>
        <v>5328.75</v>
      </c>
      <c r="J133" s="117">
        <f t="shared" si="16"/>
        <v>6181.3499999999995</v>
      </c>
      <c r="K133" s="389">
        <f t="shared" si="26"/>
        <v>253.75</v>
      </c>
      <c r="L133" s="390">
        <v>145</v>
      </c>
      <c r="M133" s="226">
        <f t="shared" si="27"/>
        <v>2900</v>
      </c>
      <c r="N133" s="19" t="s">
        <v>751</v>
      </c>
    </row>
    <row r="134" spans="1:14" ht="35.1" customHeight="1" outlineLevel="1">
      <c r="A134" s="205"/>
      <c r="B134" s="205"/>
      <c r="C134" s="447" t="s">
        <v>442</v>
      </c>
      <c r="D134" s="428" t="s">
        <v>268</v>
      </c>
      <c r="E134" s="450" t="s">
        <v>254</v>
      </c>
      <c r="F134" s="254" t="s">
        <v>347</v>
      </c>
      <c r="G134" s="387" t="s">
        <v>742</v>
      </c>
      <c r="H134" s="388">
        <v>1</v>
      </c>
      <c r="I134" s="254">
        <f t="shared" si="19"/>
        <v>6063.75</v>
      </c>
      <c r="J134" s="117">
        <f t="shared" si="16"/>
        <v>7033.95</v>
      </c>
      <c r="K134" s="389">
        <f t="shared" si="26"/>
        <v>288.75</v>
      </c>
      <c r="L134" s="390">
        <v>165</v>
      </c>
      <c r="M134" s="226">
        <f t="shared" si="27"/>
        <v>3300</v>
      </c>
      <c r="N134" s="19" t="s">
        <v>751</v>
      </c>
    </row>
    <row r="135" spans="1:14" ht="35.1" customHeight="1" outlineLevel="1">
      <c r="A135" s="205"/>
      <c r="B135" s="205"/>
      <c r="C135" s="447" t="s">
        <v>442</v>
      </c>
      <c r="D135" s="428" t="s">
        <v>268</v>
      </c>
      <c r="E135" s="450" t="s">
        <v>348</v>
      </c>
      <c r="F135" s="254" t="s">
        <v>349</v>
      </c>
      <c r="G135" s="387" t="s">
        <v>742</v>
      </c>
      <c r="H135" s="388">
        <v>1</v>
      </c>
      <c r="I135" s="254">
        <f t="shared" si="19"/>
        <v>6798.75</v>
      </c>
      <c r="J135" s="117">
        <f t="shared" si="16"/>
        <v>7886.5499999999993</v>
      </c>
      <c r="K135" s="389">
        <f t="shared" si="26"/>
        <v>323.75</v>
      </c>
      <c r="L135" s="390">
        <v>185</v>
      </c>
      <c r="M135" s="226">
        <f t="shared" si="27"/>
        <v>3700</v>
      </c>
      <c r="N135" s="19" t="s">
        <v>751</v>
      </c>
    </row>
    <row r="136" spans="1:14" s="19" customFormat="1" ht="35.1" customHeight="1" outlineLevel="1">
      <c r="A136" s="205"/>
      <c r="B136" s="205"/>
      <c r="C136" s="447" t="s">
        <v>442</v>
      </c>
      <c r="D136" s="428" t="s">
        <v>268</v>
      </c>
      <c r="E136" s="438" t="s">
        <v>267</v>
      </c>
      <c r="F136" s="254" t="s">
        <v>324</v>
      </c>
      <c r="G136" s="387" t="s">
        <v>7</v>
      </c>
      <c r="H136" s="388">
        <v>1</v>
      </c>
      <c r="I136" s="254">
        <f t="shared" si="19"/>
        <v>2903.25</v>
      </c>
      <c r="J136" s="117">
        <f t="shared" si="16"/>
        <v>3367.77</v>
      </c>
      <c r="K136" s="389">
        <f t="shared" si="26"/>
        <v>138.25</v>
      </c>
      <c r="L136" s="390">
        <v>79</v>
      </c>
      <c r="M136" s="226">
        <f t="shared" si="27"/>
        <v>1580</v>
      </c>
      <c r="N136" s="19" t="s">
        <v>751</v>
      </c>
    </row>
    <row r="137" spans="1:14" s="19" customFormat="1" ht="35.1" customHeight="1" outlineLevel="1">
      <c r="A137" s="205"/>
      <c r="B137" s="205"/>
      <c r="C137" s="447" t="s">
        <v>442</v>
      </c>
      <c r="D137" s="428" t="s">
        <v>268</v>
      </c>
      <c r="E137" s="438" t="s">
        <v>226</v>
      </c>
      <c r="F137" s="254" t="s">
        <v>325</v>
      </c>
      <c r="G137" s="387" t="s">
        <v>8</v>
      </c>
      <c r="H137" s="388">
        <v>1</v>
      </c>
      <c r="I137" s="254">
        <f t="shared" si="19"/>
        <v>698.25</v>
      </c>
      <c r="J137" s="117">
        <f t="shared" si="16"/>
        <v>809.96999999999991</v>
      </c>
      <c r="K137" s="389">
        <f t="shared" si="26"/>
        <v>33.25</v>
      </c>
      <c r="L137" s="390">
        <v>19</v>
      </c>
      <c r="M137" s="226">
        <f t="shared" si="27"/>
        <v>380</v>
      </c>
      <c r="N137" s="19" t="s">
        <v>751</v>
      </c>
    </row>
    <row r="138" spans="1:14" s="19" customFormat="1" ht="35.1" customHeight="1" outlineLevel="1">
      <c r="A138" s="205"/>
      <c r="B138" s="205"/>
      <c r="C138" s="447" t="s">
        <v>442</v>
      </c>
      <c r="D138" s="428" t="s">
        <v>268</v>
      </c>
      <c r="E138" s="438" t="s">
        <v>227</v>
      </c>
      <c r="F138" s="254" t="s">
        <v>326</v>
      </c>
      <c r="G138" s="387" t="s">
        <v>9</v>
      </c>
      <c r="H138" s="388">
        <v>1</v>
      </c>
      <c r="I138" s="254">
        <f t="shared" si="19"/>
        <v>436.8</v>
      </c>
      <c r="J138" s="117">
        <f t="shared" si="16"/>
        <v>506.68799999999999</v>
      </c>
      <c r="K138" s="389">
        <f>L138*1.3</f>
        <v>20.8</v>
      </c>
      <c r="L138" s="390">
        <v>16</v>
      </c>
      <c r="M138" s="226">
        <f t="shared" si="27"/>
        <v>320</v>
      </c>
      <c r="N138" s="19" t="s">
        <v>751</v>
      </c>
    </row>
    <row r="139" spans="1:14" s="221" customFormat="1" ht="35.1" customHeight="1" outlineLevel="1">
      <c r="A139" s="205"/>
      <c r="B139" s="205"/>
      <c r="C139" s="447"/>
      <c r="D139" s="428"/>
      <c r="E139" s="394" t="s">
        <v>636</v>
      </c>
      <c r="F139" s="254" t="s">
        <v>636</v>
      </c>
      <c r="G139" s="387"/>
      <c r="H139" s="388"/>
      <c r="I139" s="254"/>
      <c r="J139" s="117"/>
      <c r="K139" s="389"/>
      <c r="L139" s="390"/>
      <c r="M139" s="226">
        <f t="shared" si="27"/>
        <v>0</v>
      </c>
      <c r="N139" s="19" t="s">
        <v>751</v>
      </c>
    </row>
    <row r="140" spans="1:14" ht="35.1" customHeight="1">
      <c r="A140" s="205"/>
      <c r="B140" s="205"/>
      <c r="C140" s="447" t="s">
        <v>446</v>
      </c>
      <c r="D140" s="428" t="s">
        <v>263</v>
      </c>
      <c r="E140" s="438" t="s">
        <v>229</v>
      </c>
      <c r="F140" s="254" t="s">
        <v>328</v>
      </c>
      <c r="G140" s="387" t="s">
        <v>11</v>
      </c>
      <c r="H140" s="388">
        <v>1</v>
      </c>
      <c r="I140" s="254">
        <f t="shared" ref="I140:I180" si="28">K140*21</f>
        <v>420</v>
      </c>
      <c r="J140" s="117">
        <f t="shared" si="16"/>
        <v>487.2</v>
      </c>
      <c r="K140" s="389">
        <f>L140</f>
        <v>20</v>
      </c>
      <c r="L140" s="390">
        <v>20</v>
      </c>
      <c r="M140" s="226">
        <f t="shared" si="27"/>
        <v>400</v>
      </c>
      <c r="N140" s="19" t="s">
        <v>751</v>
      </c>
    </row>
    <row r="141" spans="1:14" ht="35.1" customHeight="1" outlineLevel="1">
      <c r="A141" s="205"/>
      <c r="B141" s="205"/>
      <c r="C141" s="447" t="s">
        <v>446</v>
      </c>
      <c r="D141" s="428" t="s">
        <v>268</v>
      </c>
      <c r="E141" s="438" t="s">
        <v>230</v>
      </c>
      <c r="F141" s="254" t="s">
        <v>329</v>
      </c>
      <c r="G141" s="387" t="s">
        <v>151</v>
      </c>
      <c r="H141" s="388">
        <v>1</v>
      </c>
      <c r="I141" s="254">
        <f>K141*21</f>
        <v>2604</v>
      </c>
      <c r="J141" s="117">
        <f t="shared" si="16"/>
        <v>3020.64</v>
      </c>
      <c r="K141" s="389">
        <f>L141*1.55</f>
        <v>124</v>
      </c>
      <c r="L141" s="390">
        <v>80</v>
      </c>
      <c r="M141" s="226">
        <f t="shared" si="27"/>
        <v>1600</v>
      </c>
      <c r="N141" s="19" t="s">
        <v>751</v>
      </c>
    </row>
    <row r="142" spans="1:14" ht="35.1" customHeight="1" outlineLevel="1">
      <c r="A142" s="205"/>
      <c r="B142" s="205"/>
      <c r="C142" s="447" t="s">
        <v>446</v>
      </c>
      <c r="D142" s="428" t="s">
        <v>268</v>
      </c>
      <c r="E142" s="438" t="s">
        <v>231</v>
      </c>
      <c r="F142" s="254" t="s">
        <v>330</v>
      </c>
      <c r="G142" s="387" t="s">
        <v>151</v>
      </c>
      <c r="H142" s="388">
        <v>1</v>
      </c>
      <c r="I142" s="254">
        <f t="shared" ref="I142:I144" si="29">K142*21</f>
        <v>3255</v>
      </c>
      <c r="J142" s="117">
        <f t="shared" si="16"/>
        <v>3775.7999999999997</v>
      </c>
      <c r="K142" s="389">
        <f t="shared" ref="K142:K144" si="30">L142*1.55</f>
        <v>155</v>
      </c>
      <c r="L142" s="390">
        <v>100</v>
      </c>
      <c r="M142" s="226">
        <f t="shared" si="27"/>
        <v>2000</v>
      </c>
      <c r="N142" s="19" t="s">
        <v>751</v>
      </c>
    </row>
    <row r="143" spans="1:14" ht="35.1" customHeight="1" outlineLevel="1">
      <c r="A143" s="205"/>
      <c r="B143" s="205"/>
      <c r="C143" s="447" t="s">
        <v>446</v>
      </c>
      <c r="D143" s="428" t="s">
        <v>268</v>
      </c>
      <c r="E143" s="438" t="s">
        <v>232</v>
      </c>
      <c r="F143" s="254" t="s">
        <v>331</v>
      </c>
      <c r="G143" s="387" t="s">
        <v>151</v>
      </c>
      <c r="H143" s="388">
        <v>1</v>
      </c>
      <c r="I143" s="254">
        <f t="shared" si="29"/>
        <v>3906</v>
      </c>
      <c r="J143" s="117">
        <f t="shared" si="16"/>
        <v>4530.96</v>
      </c>
      <c r="K143" s="389">
        <f t="shared" si="30"/>
        <v>186</v>
      </c>
      <c r="L143" s="390">
        <v>120</v>
      </c>
      <c r="M143" s="226">
        <f t="shared" si="27"/>
        <v>2400</v>
      </c>
      <c r="N143" s="19" t="s">
        <v>751</v>
      </c>
    </row>
    <row r="144" spans="1:14" ht="35.1" customHeight="1" outlineLevel="1">
      <c r="A144" s="205"/>
      <c r="B144" s="205"/>
      <c r="C144" s="447" t="s">
        <v>446</v>
      </c>
      <c r="D144" s="428" t="s">
        <v>268</v>
      </c>
      <c r="E144" s="438" t="s">
        <v>233</v>
      </c>
      <c r="F144" s="254" t="s">
        <v>332</v>
      </c>
      <c r="G144" s="387" t="s">
        <v>601</v>
      </c>
      <c r="H144" s="388">
        <v>1</v>
      </c>
      <c r="I144" s="254">
        <f t="shared" si="29"/>
        <v>4557</v>
      </c>
      <c r="J144" s="117">
        <f t="shared" si="16"/>
        <v>5286.12</v>
      </c>
      <c r="K144" s="389">
        <f t="shared" si="30"/>
        <v>217</v>
      </c>
      <c r="L144" s="390">
        <v>140</v>
      </c>
      <c r="M144" s="226">
        <f t="shared" si="27"/>
        <v>2800</v>
      </c>
      <c r="N144" s="19" t="s">
        <v>751</v>
      </c>
    </row>
    <row r="145" spans="1:14" s="309" customFormat="1" ht="35.1" customHeight="1" outlineLevel="1">
      <c r="A145" s="205"/>
      <c r="B145" s="205"/>
      <c r="C145" s="447"/>
      <c r="D145" s="428"/>
      <c r="E145" s="438"/>
      <c r="F145" s="254"/>
      <c r="G145" s="387"/>
      <c r="H145" s="388"/>
      <c r="I145" s="254"/>
      <c r="J145" s="117"/>
      <c r="K145" s="389"/>
      <c r="L145" s="390"/>
      <c r="M145" s="226">
        <f t="shared" si="27"/>
        <v>0</v>
      </c>
      <c r="N145" s="19" t="s">
        <v>751</v>
      </c>
    </row>
    <row r="146" spans="1:14" ht="51" customHeight="1">
      <c r="A146" s="205"/>
      <c r="B146" s="205"/>
      <c r="C146" s="447" t="s">
        <v>443</v>
      </c>
      <c r="D146" s="428" t="s">
        <v>268</v>
      </c>
      <c r="E146" s="438" t="s">
        <v>255</v>
      </c>
      <c r="F146" s="254" t="s">
        <v>255</v>
      </c>
      <c r="G146" s="387" t="s">
        <v>85</v>
      </c>
      <c r="H146" s="388">
        <v>1</v>
      </c>
      <c r="I146" s="254">
        <f>K146*20</f>
        <v>13200</v>
      </c>
      <c r="J146" s="117">
        <f t="shared" si="16"/>
        <v>15311.999999999998</v>
      </c>
      <c r="K146" s="389">
        <f>L146*1.2</f>
        <v>660</v>
      </c>
      <c r="L146" s="390">
        <v>550</v>
      </c>
      <c r="M146" s="226">
        <f t="shared" si="27"/>
        <v>11000</v>
      </c>
      <c r="N146" s="19" t="s">
        <v>751</v>
      </c>
    </row>
    <row r="147" spans="1:14" ht="49.15" customHeight="1" outlineLevel="1">
      <c r="A147" s="205"/>
      <c r="B147" s="205"/>
      <c r="C147" s="447" t="s">
        <v>443</v>
      </c>
      <c r="D147" s="428" t="s">
        <v>268</v>
      </c>
      <c r="E147" s="438" t="s">
        <v>256</v>
      </c>
      <c r="F147" s="254" t="s">
        <v>256</v>
      </c>
      <c r="G147" s="387" t="s">
        <v>86</v>
      </c>
      <c r="H147" s="388">
        <v>1</v>
      </c>
      <c r="I147" s="254">
        <f t="shared" si="28"/>
        <v>22396.5</v>
      </c>
      <c r="J147" s="117">
        <f t="shared" si="16"/>
        <v>25979.94</v>
      </c>
      <c r="K147" s="389">
        <f>L147*1.35</f>
        <v>1066.5</v>
      </c>
      <c r="L147" s="390">
        <v>790</v>
      </c>
      <c r="M147" s="226">
        <f t="shared" si="27"/>
        <v>15800</v>
      </c>
      <c r="N147" s="19" t="s">
        <v>751</v>
      </c>
    </row>
    <row r="148" spans="1:14" ht="57" customHeight="1" outlineLevel="1">
      <c r="A148" s="205"/>
      <c r="B148" s="205"/>
      <c r="C148" s="447" t="s">
        <v>443</v>
      </c>
      <c r="D148" s="428" t="s">
        <v>268</v>
      </c>
      <c r="E148" s="438" t="s">
        <v>257</v>
      </c>
      <c r="F148" s="254" t="s">
        <v>257</v>
      </c>
      <c r="G148" s="387" t="s">
        <v>87</v>
      </c>
      <c r="H148" s="388">
        <v>1</v>
      </c>
      <c r="I148" s="254">
        <f t="shared" si="28"/>
        <v>50148</v>
      </c>
      <c r="J148" s="117">
        <f t="shared" si="16"/>
        <v>58171.679999999993</v>
      </c>
      <c r="K148" s="389">
        <f>L148*1.99</f>
        <v>2388</v>
      </c>
      <c r="L148" s="390">
        <v>1200</v>
      </c>
      <c r="M148" s="226">
        <f t="shared" si="27"/>
        <v>24000</v>
      </c>
      <c r="N148" s="19" t="s">
        <v>751</v>
      </c>
    </row>
    <row r="149" spans="1:14" ht="126.6" customHeight="1" outlineLevel="1">
      <c r="A149" s="205"/>
      <c r="B149" s="205"/>
      <c r="C149" s="447" t="s">
        <v>449</v>
      </c>
      <c r="D149" s="428" t="s">
        <v>263</v>
      </c>
      <c r="E149" s="438" t="s">
        <v>26</v>
      </c>
      <c r="F149" s="254" t="s">
        <v>358</v>
      </c>
      <c r="G149" s="387" t="s">
        <v>743</v>
      </c>
      <c r="H149" s="388">
        <v>1</v>
      </c>
      <c r="I149" s="254">
        <f>K149*20</f>
        <v>27984</v>
      </c>
      <c r="J149" s="117">
        <f t="shared" si="16"/>
        <v>32461.439999999999</v>
      </c>
      <c r="K149" s="389">
        <f>L149*1.2</f>
        <v>1399.2</v>
      </c>
      <c r="L149" s="390">
        <v>1166</v>
      </c>
      <c r="M149" s="226">
        <f t="shared" si="27"/>
        <v>23320</v>
      </c>
      <c r="N149" s="19" t="s">
        <v>751</v>
      </c>
    </row>
    <row r="150" spans="1:14" ht="121.15" customHeight="1" outlineLevel="1">
      <c r="A150" s="205"/>
      <c r="B150" s="205"/>
      <c r="C150" s="447" t="s">
        <v>449</v>
      </c>
      <c r="D150" s="428" t="s">
        <v>263</v>
      </c>
      <c r="E150" s="438" t="s">
        <v>27</v>
      </c>
      <c r="F150" s="254" t="s">
        <v>359</v>
      </c>
      <c r="G150" s="387" t="s">
        <v>744</v>
      </c>
      <c r="H150" s="388">
        <v>1</v>
      </c>
      <c r="I150" s="254">
        <f>K150*20</f>
        <v>38088</v>
      </c>
      <c r="J150" s="117">
        <f t="shared" si="16"/>
        <v>44182.079999999994</v>
      </c>
      <c r="K150" s="389">
        <f t="shared" ref="K150:K151" si="31">L150*1.2</f>
        <v>1904.3999999999999</v>
      </c>
      <c r="L150" s="390">
        <v>1587</v>
      </c>
      <c r="M150" s="226">
        <f t="shared" si="27"/>
        <v>31740</v>
      </c>
      <c r="N150" s="19" t="s">
        <v>751</v>
      </c>
    </row>
    <row r="151" spans="1:14" ht="130.9" customHeight="1" outlineLevel="1">
      <c r="A151" s="205"/>
      <c r="B151" s="205"/>
      <c r="C151" s="447" t="s">
        <v>449</v>
      </c>
      <c r="D151" s="428" t="s">
        <v>263</v>
      </c>
      <c r="E151" s="438" t="s">
        <v>28</v>
      </c>
      <c r="F151" s="254" t="s">
        <v>360</v>
      </c>
      <c r="G151" s="387" t="s">
        <v>745</v>
      </c>
      <c r="H151" s="388">
        <v>1</v>
      </c>
      <c r="I151" s="254">
        <f>K151*20</f>
        <v>52272</v>
      </c>
      <c r="J151" s="117">
        <f t="shared" ref="J151:J203" si="32">I151*1.16</f>
        <v>60635.519999999997</v>
      </c>
      <c r="K151" s="389">
        <f t="shared" si="31"/>
        <v>2613.6</v>
      </c>
      <c r="L151" s="390">
        <v>2178</v>
      </c>
      <c r="M151" s="226">
        <f t="shared" si="27"/>
        <v>43560</v>
      </c>
      <c r="N151" s="19" t="s">
        <v>751</v>
      </c>
    </row>
    <row r="152" spans="1:14" ht="35.1" customHeight="1">
      <c r="A152" s="205"/>
      <c r="B152" s="205"/>
      <c r="C152" s="451" t="s">
        <v>119</v>
      </c>
      <c r="D152" s="428" t="s">
        <v>263</v>
      </c>
      <c r="E152" s="438" t="s">
        <v>209</v>
      </c>
      <c r="F152" s="254" t="s">
        <v>1</v>
      </c>
      <c r="G152" s="387" t="s">
        <v>78</v>
      </c>
      <c r="H152" s="388">
        <v>1</v>
      </c>
      <c r="I152" s="254">
        <f t="shared" si="28"/>
        <v>0</v>
      </c>
      <c r="J152" s="117">
        <f t="shared" si="32"/>
        <v>0</v>
      </c>
      <c r="K152" s="389">
        <f>L152*1.5</f>
        <v>0</v>
      </c>
      <c r="L152" s="390"/>
      <c r="M152" s="226">
        <f t="shared" si="27"/>
        <v>0</v>
      </c>
      <c r="N152" s="19" t="s">
        <v>751</v>
      </c>
    </row>
    <row r="153" spans="1:14" ht="35.1" customHeight="1" outlineLevel="1">
      <c r="A153" s="205"/>
      <c r="B153" s="205"/>
      <c r="C153" s="451" t="s">
        <v>119</v>
      </c>
      <c r="D153" s="428" t="s">
        <v>263</v>
      </c>
      <c r="E153" s="438" t="s">
        <v>210</v>
      </c>
      <c r="F153" s="254" t="s">
        <v>2</v>
      </c>
      <c r="G153" s="387" t="s">
        <v>79</v>
      </c>
      <c r="H153" s="388">
        <v>1</v>
      </c>
      <c r="I153" s="254">
        <f t="shared" si="28"/>
        <v>0</v>
      </c>
      <c r="J153" s="117">
        <f t="shared" si="32"/>
        <v>0</v>
      </c>
      <c r="K153" s="389">
        <f>L153*1.5</f>
        <v>0</v>
      </c>
      <c r="L153" s="390"/>
      <c r="M153" s="226">
        <f t="shared" si="27"/>
        <v>0</v>
      </c>
      <c r="N153" s="19" t="s">
        <v>751</v>
      </c>
    </row>
    <row r="154" spans="1:14" ht="35.1" customHeight="1" outlineLevel="1">
      <c r="A154" s="205"/>
      <c r="B154" s="205"/>
      <c r="C154" s="451" t="s">
        <v>119</v>
      </c>
      <c r="D154" s="428" t="s">
        <v>263</v>
      </c>
      <c r="E154" s="438" t="s">
        <v>211</v>
      </c>
      <c r="F154" s="254" t="s">
        <v>3</v>
      </c>
      <c r="G154" s="387" t="s">
        <v>82</v>
      </c>
      <c r="H154" s="388">
        <v>1</v>
      </c>
      <c r="I154" s="254">
        <f t="shared" si="28"/>
        <v>18900</v>
      </c>
      <c r="J154" s="117">
        <f t="shared" si="32"/>
        <v>21924</v>
      </c>
      <c r="K154" s="389">
        <f>L154*1.5</f>
        <v>900</v>
      </c>
      <c r="L154" s="390">
        <v>600</v>
      </c>
      <c r="M154" s="226">
        <f t="shared" si="27"/>
        <v>12000</v>
      </c>
      <c r="N154" s="19" t="s">
        <v>751</v>
      </c>
    </row>
    <row r="155" spans="1:14" ht="35.1" customHeight="1" outlineLevel="1">
      <c r="A155" s="205"/>
      <c r="B155" s="205"/>
      <c r="C155" s="451" t="s">
        <v>119</v>
      </c>
      <c r="D155" s="428" t="s">
        <v>263</v>
      </c>
      <c r="E155" s="438" t="s">
        <v>212</v>
      </c>
      <c r="F155" s="254" t="s">
        <v>4</v>
      </c>
      <c r="G155" s="387" t="s">
        <v>81</v>
      </c>
      <c r="H155" s="388">
        <v>1</v>
      </c>
      <c r="I155" s="254">
        <f t="shared" si="28"/>
        <v>9450</v>
      </c>
      <c r="J155" s="117">
        <f t="shared" si="32"/>
        <v>10962</v>
      </c>
      <c r="K155" s="389">
        <v>450</v>
      </c>
      <c r="L155" s="390"/>
      <c r="M155" s="226">
        <f t="shared" si="27"/>
        <v>0</v>
      </c>
      <c r="N155" s="19" t="s">
        <v>751</v>
      </c>
    </row>
    <row r="156" spans="1:14" ht="35.1" customHeight="1" outlineLevel="1">
      <c r="A156" s="205"/>
      <c r="B156" s="205"/>
      <c r="C156" s="451" t="s">
        <v>119</v>
      </c>
      <c r="D156" s="428" t="s">
        <v>263</v>
      </c>
      <c r="E156" s="438" t="s">
        <v>213</v>
      </c>
      <c r="F156" s="254" t="s">
        <v>314</v>
      </c>
      <c r="G156" s="387" t="s">
        <v>80</v>
      </c>
      <c r="H156" s="388">
        <v>1</v>
      </c>
      <c r="I156" s="254">
        <f t="shared" si="28"/>
        <v>162.29849999999999</v>
      </c>
      <c r="J156" s="117">
        <f t="shared" si="32"/>
        <v>188.26625999999999</v>
      </c>
      <c r="K156" s="389">
        <f>L156*1.45</f>
        <v>7.7284999999999995</v>
      </c>
      <c r="L156" s="390">
        <v>5.33</v>
      </c>
      <c r="M156" s="226">
        <f t="shared" si="27"/>
        <v>106.6</v>
      </c>
      <c r="N156" s="19" t="s">
        <v>751</v>
      </c>
    </row>
    <row r="157" spans="1:14" ht="35.1" customHeight="1" outlineLevel="1">
      <c r="A157" s="205"/>
      <c r="B157" s="205"/>
      <c r="C157" s="451" t="s">
        <v>119</v>
      </c>
      <c r="D157" s="428" t="s">
        <v>263</v>
      </c>
      <c r="E157" s="438" t="s">
        <v>214</v>
      </c>
      <c r="F157" s="254" t="s">
        <v>315</v>
      </c>
      <c r="G157" s="387" t="s">
        <v>83</v>
      </c>
      <c r="H157" s="388">
        <v>1</v>
      </c>
      <c r="I157" s="254">
        <f t="shared" si="28"/>
        <v>178.7415</v>
      </c>
      <c r="J157" s="117">
        <f t="shared" si="32"/>
        <v>207.34013999999999</v>
      </c>
      <c r="K157" s="389">
        <f>L157*1.45</f>
        <v>8.5114999999999998</v>
      </c>
      <c r="L157" s="390">
        <v>5.87</v>
      </c>
      <c r="M157" s="226">
        <f t="shared" si="27"/>
        <v>117.4</v>
      </c>
      <c r="N157" s="19" t="s">
        <v>751</v>
      </c>
    </row>
    <row r="158" spans="1:14" ht="35.1" customHeight="1" outlineLevel="1">
      <c r="A158" s="205"/>
      <c r="B158" s="205"/>
      <c r="C158" s="451" t="s">
        <v>119</v>
      </c>
      <c r="D158" s="428" t="s">
        <v>263</v>
      </c>
      <c r="E158" s="438" t="s">
        <v>228</v>
      </c>
      <c r="F158" s="254" t="s">
        <v>327</v>
      </c>
      <c r="G158" s="387" t="s">
        <v>10</v>
      </c>
      <c r="H158" s="388">
        <v>1</v>
      </c>
      <c r="I158" s="254">
        <f t="shared" si="28"/>
        <v>1890</v>
      </c>
      <c r="J158" s="117">
        <f t="shared" si="32"/>
        <v>2192.3999999999996</v>
      </c>
      <c r="K158" s="389">
        <f>L158</f>
        <v>90</v>
      </c>
      <c r="L158" s="390">
        <v>90</v>
      </c>
      <c r="M158" s="226">
        <f t="shared" si="27"/>
        <v>1800</v>
      </c>
      <c r="N158" s="19" t="s">
        <v>751</v>
      </c>
    </row>
    <row r="159" spans="1:14" ht="35.1" customHeight="1" outlineLevel="1">
      <c r="A159" s="205"/>
      <c r="B159" s="205"/>
      <c r="C159" s="451" t="s">
        <v>119</v>
      </c>
      <c r="D159" s="428" t="s">
        <v>93</v>
      </c>
      <c r="E159" s="438" t="s">
        <v>53</v>
      </c>
      <c r="F159" s="254" t="s">
        <v>53</v>
      </c>
      <c r="G159" s="387" t="s">
        <v>29</v>
      </c>
      <c r="H159" s="388">
        <v>1</v>
      </c>
      <c r="I159" s="254">
        <f t="shared" si="28"/>
        <v>46.8048</v>
      </c>
      <c r="J159" s="117">
        <f t="shared" si="32"/>
        <v>54.293567999999993</v>
      </c>
      <c r="K159" s="389">
        <f t="shared" ref="K159:K170" si="33">L159*1.99</f>
        <v>2.2288000000000001</v>
      </c>
      <c r="L159" s="390">
        <v>1.1200000000000001</v>
      </c>
      <c r="M159" s="226">
        <f t="shared" si="27"/>
        <v>22.400000000000002</v>
      </c>
      <c r="N159" s="19" t="s">
        <v>751</v>
      </c>
    </row>
    <row r="160" spans="1:14" ht="35.1" customHeight="1" outlineLevel="1">
      <c r="A160" s="205"/>
      <c r="B160" s="205"/>
      <c r="C160" s="451" t="s">
        <v>119</v>
      </c>
      <c r="D160" s="428" t="s">
        <v>106</v>
      </c>
      <c r="E160" s="438" t="s">
        <v>30</v>
      </c>
      <c r="F160" s="254" t="s">
        <v>30</v>
      </c>
      <c r="G160" s="387" t="s">
        <v>31</v>
      </c>
      <c r="H160" s="388">
        <v>1</v>
      </c>
      <c r="I160" s="254">
        <f t="shared" si="28"/>
        <v>41.79</v>
      </c>
      <c r="J160" s="117">
        <f t="shared" si="32"/>
        <v>48.476399999999998</v>
      </c>
      <c r="K160" s="389">
        <f t="shared" si="33"/>
        <v>1.99</v>
      </c>
      <c r="L160" s="390">
        <v>1</v>
      </c>
      <c r="M160" s="226">
        <f t="shared" si="27"/>
        <v>20</v>
      </c>
      <c r="N160" s="19" t="s">
        <v>751</v>
      </c>
    </row>
    <row r="161" spans="1:21" ht="35.1" customHeight="1" outlineLevel="1">
      <c r="A161" s="205"/>
      <c r="B161" s="205"/>
      <c r="C161" s="451" t="s">
        <v>119</v>
      </c>
      <c r="D161" s="428" t="s">
        <v>106</v>
      </c>
      <c r="E161" s="438" t="s">
        <v>32</v>
      </c>
      <c r="F161" s="254" t="s">
        <v>32</v>
      </c>
      <c r="G161" s="387" t="s">
        <v>33</v>
      </c>
      <c r="H161" s="388">
        <v>1</v>
      </c>
      <c r="I161" s="254">
        <f t="shared" si="28"/>
        <v>41.79</v>
      </c>
      <c r="J161" s="117">
        <f t="shared" si="32"/>
        <v>48.476399999999998</v>
      </c>
      <c r="K161" s="389">
        <f t="shared" si="33"/>
        <v>1.99</v>
      </c>
      <c r="L161" s="390">
        <v>1</v>
      </c>
      <c r="M161" s="226">
        <f t="shared" si="27"/>
        <v>20</v>
      </c>
      <c r="N161" s="19" t="s">
        <v>751</v>
      </c>
    </row>
    <row r="162" spans="1:21" ht="35.1" customHeight="1" outlineLevel="1">
      <c r="A162" s="205"/>
      <c r="B162" s="205"/>
      <c r="C162" s="451" t="s">
        <v>119</v>
      </c>
      <c r="D162" s="428" t="s">
        <v>106</v>
      </c>
      <c r="E162" s="438" t="s">
        <v>34</v>
      </c>
      <c r="F162" s="254" t="s">
        <v>34</v>
      </c>
      <c r="G162" s="387" t="s">
        <v>35</v>
      </c>
      <c r="H162" s="388">
        <v>1</v>
      </c>
      <c r="I162" s="254">
        <f t="shared" si="28"/>
        <v>55.5807</v>
      </c>
      <c r="J162" s="117">
        <f t="shared" si="32"/>
        <v>64.473612000000003</v>
      </c>
      <c r="K162" s="389">
        <f t="shared" si="33"/>
        <v>2.6467000000000001</v>
      </c>
      <c r="L162" s="390">
        <v>1.33</v>
      </c>
      <c r="M162" s="226">
        <f t="shared" si="27"/>
        <v>26.6</v>
      </c>
      <c r="N162" s="19" t="s">
        <v>751</v>
      </c>
    </row>
    <row r="163" spans="1:21" ht="35.1" customHeight="1" outlineLevel="1">
      <c r="A163" s="205"/>
      <c r="B163" s="205"/>
      <c r="C163" s="451" t="s">
        <v>119</v>
      </c>
      <c r="D163" s="428" t="s">
        <v>106</v>
      </c>
      <c r="E163" s="438" t="s">
        <v>36</v>
      </c>
      <c r="F163" s="254" t="s">
        <v>36</v>
      </c>
      <c r="G163" s="387" t="s">
        <v>37</v>
      </c>
      <c r="H163" s="388">
        <v>1</v>
      </c>
      <c r="I163" s="254">
        <f t="shared" si="28"/>
        <v>55.5807</v>
      </c>
      <c r="J163" s="117">
        <f t="shared" si="32"/>
        <v>64.473612000000003</v>
      </c>
      <c r="K163" s="389">
        <f t="shared" si="33"/>
        <v>2.6467000000000001</v>
      </c>
      <c r="L163" s="390">
        <v>1.33</v>
      </c>
      <c r="M163" s="226">
        <f t="shared" si="27"/>
        <v>26.6</v>
      </c>
      <c r="N163" s="19" t="s">
        <v>751</v>
      </c>
    </row>
    <row r="164" spans="1:21" ht="35.1" customHeight="1" outlineLevel="1">
      <c r="A164" s="205"/>
      <c r="B164" s="205"/>
      <c r="C164" s="451" t="s">
        <v>119</v>
      </c>
      <c r="D164" s="428" t="s">
        <v>106</v>
      </c>
      <c r="E164" s="438" t="s">
        <v>38</v>
      </c>
      <c r="F164" s="254" t="s">
        <v>38</v>
      </c>
      <c r="G164" s="387" t="s">
        <v>39</v>
      </c>
      <c r="H164" s="388">
        <v>1</v>
      </c>
      <c r="I164" s="254">
        <f t="shared" si="28"/>
        <v>2382.0299999999997</v>
      </c>
      <c r="J164" s="117">
        <f t="shared" si="32"/>
        <v>2763.1547999999993</v>
      </c>
      <c r="K164" s="389">
        <f t="shared" si="33"/>
        <v>113.42999999999999</v>
      </c>
      <c r="L164" s="390">
        <v>57</v>
      </c>
      <c r="M164" s="226">
        <f t="shared" si="27"/>
        <v>1140</v>
      </c>
      <c r="N164" s="19" t="s">
        <v>751</v>
      </c>
    </row>
    <row r="165" spans="1:21" ht="35.1" customHeight="1" outlineLevel="1">
      <c r="A165" s="205"/>
      <c r="B165" s="205"/>
      <c r="C165" s="451" t="s">
        <v>119</v>
      </c>
      <c r="D165" s="428" t="s">
        <v>106</v>
      </c>
      <c r="E165" s="438" t="s">
        <v>40</v>
      </c>
      <c r="F165" s="254" t="s">
        <v>40</v>
      </c>
      <c r="G165" s="387" t="s">
        <v>41</v>
      </c>
      <c r="H165" s="388">
        <v>1</v>
      </c>
      <c r="I165" s="254">
        <f t="shared" si="28"/>
        <v>222.7407</v>
      </c>
      <c r="J165" s="117">
        <f t="shared" si="32"/>
        <v>258.379212</v>
      </c>
      <c r="K165" s="389">
        <f t="shared" si="33"/>
        <v>10.6067</v>
      </c>
      <c r="L165" s="390">
        <v>5.33</v>
      </c>
      <c r="M165" s="226">
        <f t="shared" si="27"/>
        <v>106.6</v>
      </c>
      <c r="N165" s="19" t="s">
        <v>751</v>
      </c>
    </row>
    <row r="166" spans="1:21" ht="35.1" customHeight="1" outlineLevel="1">
      <c r="A166" s="205"/>
      <c r="B166" s="205"/>
      <c r="C166" s="451" t="s">
        <v>119</v>
      </c>
      <c r="D166" s="428" t="s">
        <v>107</v>
      </c>
      <c r="E166" s="438" t="s">
        <v>54</v>
      </c>
      <c r="F166" s="254" t="s">
        <v>54</v>
      </c>
      <c r="G166" s="387" t="s">
        <v>42</v>
      </c>
      <c r="H166" s="388">
        <v>1</v>
      </c>
      <c r="I166" s="254">
        <f t="shared" si="28"/>
        <v>4304.37</v>
      </c>
      <c r="J166" s="117">
        <f t="shared" si="32"/>
        <v>4993.0691999999999</v>
      </c>
      <c r="K166" s="389">
        <f t="shared" si="33"/>
        <v>204.97</v>
      </c>
      <c r="L166" s="390">
        <v>103</v>
      </c>
      <c r="M166" s="226">
        <f t="shared" si="27"/>
        <v>2060</v>
      </c>
      <c r="N166" s="19" t="s">
        <v>751</v>
      </c>
    </row>
    <row r="167" spans="1:21" ht="35.1" customHeight="1" outlineLevel="1">
      <c r="A167" s="205"/>
      <c r="B167" s="205"/>
      <c r="C167" s="451" t="s">
        <v>119</v>
      </c>
      <c r="D167" s="428" t="s">
        <v>107</v>
      </c>
      <c r="E167" s="438" t="s">
        <v>55</v>
      </c>
      <c r="F167" s="254" t="s">
        <v>55</v>
      </c>
      <c r="G167" s="387" t="s">
        <v>43</v>
      </c>
      <c r="H167" s="388">
        <v>1</v>
      </c>
      <c r="I167" s="254">
        <f t="shared" si="28"/>
        <v>2131.29</v>
      </c>
      <c r="J167" s="117">
        <f t="shared" si="32"/>
        <v>2472.2963999999997</v>
      </c>
      <c r="K167" s="389">
        <f t="shared" si="33"/>
        <v>101.49</v>
      </c>
      <c r="L167" s="390">
        <v>51</v>
      </c>
      <c r="M167" s="226">
        <f t="shared" si="27"/>
        <v>1020</v>
      </c>
      <c r="N167" s="19" t="s">
        <v>751</v>
      </c>
    </row>
    <row r="168" spans="1:21" ht="35.1" customHeight="1" outlineLevel="1">
      <c r="A168" s="205"/>
      <c r="B168" s="205"/>
      <c r="C168" s="451" t="s">
        <v>119</v>
      </c>
      <c r="D168" s="428" t="s">
        <v>107</v>
      </c>
      <c r="E168" s="438" t="s">
        <v>44</v>
      </c>
      <c r="F168" s="254" t="s">
        <v>44</v>
      </c>
      <c r="G168" s="387" t="s">
        <v>45</v>
      </c>
      <c r="H168" s="388">
        <v>1</v>
      </c>
      <c r="I168" s="254">
        <f t="shared" si="28"/>
        <v>1880.55</v>
      </c>
      <c r="J168" s="117">
        <f t="shared" si="32"/>
        <v>2181.4379999999996</v>
      </c>
      <c r="K168" s="389">
        <f t="shared" si="33"/>
        <v>89.55</v>
      </c>
      <c r="L168" s="390">
        <v>45</v>
      </c>
      <c r="M168" s="226">
        <f t="shared" si="27"/>
        <v>900</v>
      </c>
      <c r="N168" s="19" t="s">
        <v>751</v>
      </c>
    </row>
    <row r="169" spans="1:21" ht="35.1" customHeight="1" outlineLevel="1">
      <c r="A169" s="205"/>
      <c r="B169" s="205"/>
      <c r="C169" s="451" t="s">
        <v>119</v>
      </c>
      <c r="D169" s="428" t="s">
        <v>108</v>
      </c>
      <c r="E169" s="438" t="s">
        <v>46</v>
      </c>
      <c r="F169" s="254" t="s">
        <v>46</v>
      </c>
      <c r="G169" s="387" t="s">
        <v>47</v>
      </c>
      <c r="H169" s="388">
        <v>1</v>
      </c>
      <c r="I169" s="254">
        <f t="shared" si="28"/>
        <v>0</v>
      </c>
      <c r="J169" s="117">
        <f t="shared" si="32"/>
        <v>0</v>
      </c>
      <c r="K169" s="389">
        <f t="shared" si="33"/>
        <v>0</v>
      </c>
      <c r="L169" s="390"/>
      <c r="M169" s="226">
        <f t="shared" si="27"/>
        <v>0</v>
      </c>
      <c r="N169" s="19" t="s">
        <v>751</v>
      </c>
    </row>
    <row r="170" spans="1:21" ht="35.1" customHeight="1" outlineLevel="1">
      <c r="A170" s="205"/>
      <c r="B170" s="205"/>
      <c r="C170" s="451" t="s">
        <v>611</v>
      </c>
      <c r="D170" s="428" t="s">
        <v>108</v>
      </c>
      <c r="E170" s="438" t="s">
        <v>46</v>
      </c>
      <c r="F170" s="254" t="s">
        <v>48</v>
      </c>
      <c r="G170" s="387" t="s">
        <v>49</v>
      </c>
      <c r="H170" s="388">
        <v>1</v>
      </c>
      <c r="I170" s="254">
        <f t="shared" si="28"/>
        <v>0</v>
      </c>
      <c r="J170" s="117">
        <f t="shared" si="32"/>
        <v>0</v>
      </c>
      <c r="K170" s="389">
        <f t="shared" si="33"/>
        <v>0</v>
      </c>
      <c r="L170" s="390"/>
      <c r="M170" s="226">
        <f t="shared" si="27"/>
        <v>0</v>
      </c>
      <c r="N170" s="19" t="s">
        <v>751</v>
      </c>
    </row>
    <row r="171" spans="1:21" s="309" customFormat="1" ht="35.1" customHeight="1" outlineLevel="1">
      <c r="A171" s="205"/>
      <c r="B171" s="205"/>
      <c r="C171" s="451"/>
      <c r="D171" s="428"/>
      <c r="E171" s="394" t="s">
        <v>546</v>
      </c>
      <c r="F171" s="254" t="s">
        <v>546</v>
      </c>
      <c r="G171" s="387"/>
      <c r="H171" s="388"/>
      <c r="I171" s="254"/>
      <c r="J171" s="117"/>
      <c r="K171" s="389"/>
      <c r="L171" s="390"/>
      <c r="M171" s="226">
        <f t="shared" si="27"/>
        <v>0</v>
      </c>
      <c r="N171" s="19" t="s">
        <v>751</v>
      </c>
    </row>
    <row r="172" spans="1:21" s="19" customFormat="1" ht="65.099999999999994" customHeight="1">
      <c r="A172" s="452" t="s">
        <v>531</v>
      </c>
      <c r="B172" s="205"/>
      <c r="C172" s="453" t="s">
        <v>440</v>
      </c>
      <c r="D172" s="454" t="s">
        <v>301</v>
      </c>
      <c r="E172" s="438" t="s">
        <v>304</v>
      </c>
      <c r="F172" s="254" t="s">
        <v>546</v>
      </c>
      <c r="G172" s="387" t="s">
        <v>755</v>
      </c>
      <c r="H172" s="388">
        <v>1</v>
      </c>
      <c r="I172" s="254">
        <f t="shared" ref="I172:I175" si="34">K172*21</f>
        <v>630</v>
      </c>
      <c r="J172" s="117">
        <f t="shared" si="32"/>
        <v>730.8</v>
      </c>
      <c r="K172" s="389">
        <f t="shared" ref="K172:K179" si="35">L172</f>
        <v>30</v>
      </c>
      <c r="L172" s="390">
        <v>30</v>
      </c>
      <c r="M172" s="226">
        <f t="shared" si="27"/>
        <v>600</v>
      </c>
      <c r="N172" s="19" t="s">
        <v>751</v>
      </c>
      <c r="O172" s="3"/>
      <c r="P172" s="3"/>
      <c r="Q172" s="3"/>
      <c r="R172" s="3"/>
      <c r="S172" s="3"/>
      <c r="T172" s="3"/>
      <c r="U172" s="3"/>
    </row>
    <row r="173" spans="1:21" s="19" customFormat="1" ht="65.099999999999994" customHeight="1" outlineLevel="1">
      <c r="A173" s="452" t="s">
        <v>531</v>
      </c>
      <c r="B173" s="205"/>
      <c r="C173" s="453" t="s">
        <v>440</v>
      </c>
      <c r="D173" s="454" t="s">
        <v>301</v>
      </c>
      <c r="E173" s="438" t="s">
        <v>304</v>
      </c>
      <c r="F173" s="254" t="s">
        <v>756</v>
      </c>
      <c r="G173" s="387" t="s">
        <v>757</v>
      </c>
      <c r="H173" s="388">
        <v>1</v>
      </c>
      <c r="I173" s="254">
        <f t="shared" si="34"/>
        <v>1155</v>
      </c>
      <c r="J173" s="117">
        <f t="shared" si="32"/>
        <v>1339.8</v>
      </c>
      <c r="K173" s="389">
        <f t="shared" si="35"/>
        <v>55</v>
      </c>
      <c r="L173" s="390">
        <v>55</v>
      </c>
      <c r="M173" s="226">
        <f t="shared" si="27"/>
        <v>1100</v>
      </c>
      <c r="N173" s="19" t="s">
        <v>751</v>
      </c>
      <c r="O173" s="3"/>
      <c r="P173" s="3"/>
      <c r="Q173" s="3"/>
      <c r="R173" s="3"/>
      <c r="S173" s="3"/>
      <c r="T173" s="3"/>
      <c r="U173" s="3"/>
    </row>
    <row r="174" spans="1:21" s="19" customFormat="1" ht="65.099999999999994" customHeight="1" outlineLevel="1">
      <c r="A174" s="452" t="s">
        <v>531</v>
      </c>
      <c r="B174" s="205"/>
      <c r="C174" s="453" t="s">
        <v>440</v>
      </c>
      <c r="D174" s="454" t="s">
        <v>301</v>
      </c>
      <c r="E174" s="438" t="s">
        <v>304</v>
      </c>
      <c r="F174" s="254" t="s">
        <v>758</v>
      </c>
      <c r="G174" s="387" t="s">
        <v>759</v>
      </c>
      <c r="H174" s="388">
        <v>1</v>
      </c>
      <c r="I174" s="254">
        <f t="shared" si="34"/>
        <v>315</v>
      </c>
      <c r="J174" s="117">
        <f t="shared" si="32"/>
        <v>365.4</v>
      </c>
      <c r="K174" s="389">
        <v>15</v>
      </c>
      <c r="L174" s="390">
        <v>50</v>
      </c>
      <c r="M174" s="226">
        <f t="shared" si="27"/>
        <v>1000</v>
      </c>
      <c r="N174" s="19" t="s">
        <v>751</v>
      </c>
      <c r="O174" s="3"/>
      <c r="P174" s="3"/>
      <c r="Q174" s="3"/>
      <c r="R174" s="3"/>
      <c r="S174" s="3"/>
      <c r="T174" s="3"/>
      <c r="U174" s="3"/>
    </row>
    <row r="175" spans="1:21" s="19" customFormat="1" ht="65.099999999999994" customHeight="1" outlineLevel="1">
      <c r="A175" s="452" t="s">
        <v>531</v>
      </c>
      <c r="B175" s="205"/>
      <c r="C175" s="453" t="s">
        <v>440</v>
      </c>
      <c r="D175" s="454" t="s">
        <v>301</v>
      </c>
      <c r="E175" s="438" t="s">
        <v>304</v>
      </c>
      <c r="F175" s="254" t="s">
        <v>760</v>
      </c>
      <c r="G175" s="387" t="s">
        <v>761</v>
      </c>
      <c r="H175" s="388">
        <v>1</v>
      </c>
      <c r="I175" s="254">
        <f t="shared" si="34"/>
        <v>1050</v>
      </c>
      <c r="J175" s="117">
        <f t="shared" si="32"/>
        <v>1218</v>
      </c>
      <c r="K175" s="389">
        <f t="shared" si="35"/>
        <v>50</v>
      </c>
      <c r="L175" s="390">
        <v>50</v>
      </c>
      <c r="M175" s="226">
        <f>L175*21</f>
        <v>1050</v>
      </c>
      <c r="N175" s="19" t="s">
        <v>751</v>
      </c>
      <c r="O175" s="3"/>
      <c r="P175" s="3"/>
      <c r="Q175" s="3"/>
      <c r="R175" s="3"/>
      <c r="S175" s="3"/>
      <c r="T175" s="3"/>
      <c r="U175" s="3"/>
    </row>
    <row r="176" spans="1:21" s="301" customFormat="1" ht="24.75" customHeight="1" outlineLevel="1">
      <c r="A176" s="452"/>
      <c r="B176" s="205"/>
      <c r="C176" s="453"/>
      <c r="D176" s="454"/>
      <c r="E176" s="455" t="s">
        <v>501</v>
      </c>
      <c r="F176" s="254" t="s">
        <v>501</v>
      </c>
      <c r="G176" s="387"/>
      <c r="H176" s="388"/>
      <c r="I176" s="254"/>
      <c r="J176" s="117"/>
      <c r="K176" s="389"/>
      <c r="L176" s="390"/>
      <c r="M176" s="226">
        <f t="shared" si="27"/>
        <v>0</v>
      </c>
      <c r="N176" s="19" t="s">
        <v>751</v>
      </c>
    </row>
    <row r="177" spans="1:21" ht="35.1" customHeight="1">
      <c r="A177" s="205"/>
      <c r="B177" s="205"/>
      <c r="C177" s="453" t="s">
        <v>403</v>
      </c>
      <c r="D177" s="454" t="s">
        <v>569</v>
      </c>
      <c r="E177" s="438" t="s">
        <v>302</v>
      </c>
      <c r="F177" s="254" t="s">
        <v>612</v>
      </c>
      <c r="G177" s="387" t="s">
        <v>585</v>
      </c>
      <c r="H177" s="388">
        <v>1</v>
      </c>
      <c r="I177" s="254">
        <v>0</v>
      </c>
      <c r="J177" s="117">
        <f t="shared" si="32"/>
        <v>0</v>
      </c>
      <c r="K177" s="389">
        <f>L177</f>
        <v>40</v>
      </c>
      <c r="L177" s="390">
        <v>40</v>
      </c>
      <c r="M177" s="226">
        <f t="shared" si="27"/>
        <v>800</v>
      </c>
      <c r="N177" s="19" t="s">
        <v>751</v>
      </c>
    </row>
    <row r="178" spans="1:21" ht="35.1" customHeight="1" outlineLevel="1">
      <c r="A178" s="205"/>
      <c r="B178" s="205"/>
      <c r="C178" s="453" t="s">
        <v>403</v>
      </c>
      <c r="D178" s="454" t="s">
        <v>569</v>
      </c>
      <c r="E178" s="438" t="s">
        <v>302</v>
      </c>
      <c r="F178" s="254" t="s">
        <v>613</v>
      </c>
      <c r="G178" s="387" t="s">
        <v>586</v>
      </c>
      <c r="H178" s="388">
        <v>1</v>
      </c>
      <c r="I178" s="254">
        <f t="shared" si="28"/>
        <v>1260</v>
      </c>
      <c r="J178" s="117">
        <f t="shared" si="32"/>
        <v>1461.6</v>
      </c>
      <c r="K178" s="389">
        <f t="shared" si="35"/>
        <v>60</v>
      </c>
      <c r="L178" s="390">
        <v>60</v>
      </c>
      <c r="M178" s="226">
        <f t="shared" si="27"/>
        <v>1200</v>
      </c>
      <c r="N178" s="19" t="s">
        <v>751</v>
      </c>
    </row>
    <row r="179" spans="1:21" ht="35.1" customHeight="1" outlineLevel="1">
      <c r="A179" s="205"/>
      <c r="B179" s="205"/>
      <c r="C179" s="453" t="s">
        <v>403</v>
      </c>
      <c r="D179" s="454" t="s">
        <v>569</v>
      </c>
      <c r="E179" s="438" t="s">
        <v>302</v>
      </c>
      <c r="F179" s="254" t="s">
        <v>614</v>
      </c>
      <c r="G179" s="387" t="s">
        <v>746</v>
      </c>
      <c r="H179" s="388">
        <v>1</v>
      </c>
      <c r="I179" s="254">
        <f t="shared" si="28"/>
        <v>1680</v>
      </c>
      <c r="J179" s="117">
        <f t="shared" si="32"/>
        <v>1948.8</v>
      </c>
      <c r="K179" s="389">
        <f t="shared" si="35"/>
        <v>80</v>
      </c>
      <c r="L179" s="390">
        <v>80</v>
      </c>
      <c r="M179" s="226">
        <f t="shared" si="27"/>
        <v>1600</v>
      </c>
      <c r="N179" s="19" t="s">
        <v>751</v>
      </c>
    </row>
    <row r="180" spans="1:21" s="19" customFormat="1" ht="35.1" customHeight="1" outlineLevel="1">
      <c r="A180" s="205"/>
      <c r="B180" s="205"/>
      <c r="C180" s="453"/>
      <c r="D180" s="454"/>
      <c r="E180" s="438" t="s">
        <v>302</v>
      </c>
      <c r="F180" s="254" t="s">
        <v>615</v>
      </c>
      <c r="G180" s="387" t="s">
        <v>645</v>
      </c>
      <c r="H180" s="388">
        <v>1</v>
      </c>
      <c r="I180" s="254">
        <f t="shared" si="28"/>
        <v>2520</v>
      </c>
      <c r="J180" s="117">
        <f t="shared" si="32"/>
        <v>2923.2</v>
      </c>
      <c r="K180" s="389">
        <v>120</v>
      </c>
      <c r="L180" s="390">
        <v>350</v>
      </c>
      <c r="M180" s="226">
        <f t="shared" si="27"/>
        <v>7000</v>
      </c>
      <c r="N180" s="19" t="s">
        <v>751</v>
      </c>
    </row>
    <row r="181" spans="1:21" s="306" customFormat="1" ht="35.1" customHeight="1" outlineLevel="1">
      <c r="A181" s="205"/>
      <c r="B181" s="205"/>
      <c r="C181" s="453"/>
      <c r="D181" s="454"/>
      <c r="E181" s="394" t="s">
        <v>635</v>
      </c>
      <c r="F181" s="254" t="s">
        <v>635</v>
      </c>
      <c r="G181" s="387"/>
      <c r="H181" s="388"/>
      <c r="I181" s="254"/>
      <c r="J181" s="117"/>
      <c r="K181" s="389"/>
      <c r="L181" s="390"/>
      <c r="M181" s="226">
        <f t="shared" si="27"/>
        <v>0</v>
      </c>
      <c r="N181" s="19" t="s">
        <v>751</v>
      </c>
    </row>
    <row r="182" spans="1:21" s="120" customFormat="1" ht="35.1" customHeight="1">
      <c r="A182" s="456"/>
      <c r="B182" s="456"/>
      <c r="C182" s="453" t="s">
        <v>521</v>
      </c>
      <c r="D182" s="454"/>
      <c r="E182" s="438">
        <v>0.35</v>
      </c>
      <c r="F182" s="254" t="s">
        <v>521</v>
      </c>
      <c r="G182" s="387" t="s">
        <v>522</v>
      </c>
      <c r="H182" s="388">
        <v>1</v>
      </c>
      <c r="I182" s="254">
        <f>K182*21</f>
        <v>3622.5</v>
      </c>
      <c r="J182" s="117">
        <f t="shared" si="32"/>
        <v>4202.0999999999995</v>
      </c>
      <c r="K182" s="389">
        <f>L182*1.5</f>
        <v>172.5</v>
      </c>
      <c r="L182" s="390">
        <v>115</v>
      </c>
      <c r="M182" s="226">
        <f t="shared" si="27"/>
        <v>2300</v>
      </c>
      <c r="N182" s="19" t="s">
        <v>751</v>
      </c>
      <c r="O182" s="19" t="e">
        <f>N182*J182</f>
        <v>#VALUE!</v>
      </c>
      <c r="P182" s="6"/>
      <c r="Q182" s="172">
        <v>4</v>
      </c>
    </row>
    <row r="183" spans="1:21" s="120" customFormat="1" ht="35.1" customHeight="1" outlineLevel="1">
      <c r="A183" s="457"/>
      <c r="B183" s="457"/>
      <c r="C183" s="453" t="s">
        <v>543</v>
      </c>
      <c r="D183" s="454"/>
      <c r="E183" s="438">
        <v>0.35</v>
      </c>
      <c r="F183" s="254" t="s">
        <v>523</v>
      </c>
      <c r="G183" s="387" t="s">
        <v>524</v>
      </c>
      <c r="H183" s="388">
        <v>1</v>
      </c>
      <c r="I183" s="254">
        <f t="shared" ref="I183:I185" si="36">K183*21</f>
        <v>3780</v>
      </c>
      <c r="J183" s="117">
        <f t="shared" si="32"/>
        <v>4384.7999999999993</v>
      </c>
      <c r="K183" s="389">
        <f t="shared" ref="K183:K184" si="37">L183*1.5</f>
        <v>180</v>
      </c>
      <c r="L183" s="390">
        <v>120</v>
      </c>
      <c r="M183" s="226">
        <f t="shared" si="27"/>
        <v>2400</v>
      </c>
      <c r="N183" s="19" t="s">
        <v>751</v>
      </c>
      <c r="O183" s="19" t="e">
        <f>N183*J183</f>
        <v>#VALUE!</v>
      </c>
      <c r="P183" s="6"/>
    </row>
    <row r="184" spans="1:21" s="120" customFormat="1" ht="35.1" customHeight="1" outlineLevel="1">
      <c r="A184" s="457"/>
      <c r="B184" s="457"/>
      <c r="C184" s="453" t="s">
        <v>525</v>
      </c>
      <c r="D184" s="454"/>
      <c r="E184" s="438">
        <v>0.35</v>
      </c>
      <c r="F184" s="254" t="s">
        <v>525</v>
      </c>
      <c r="G184" s="387" t="s">
        <v>526</v>
      </c>
      <c r="H184" s="388">
        <v>1</v>
      </c>
      <c r="I184" s="254">
        <f t="shared" si="36"/>
        <v>3937.5</v>
      </c>
      <c r="J184" s="117">
        <f t="shared" si="32"/>
        <v>4567.5</v>
      </c>
      <c r="K184" s="389">
        <f t="shared" si="37"/>
        <v>187.5</v>
      </c>
      <c r="L184" s="390">
        <v>125</v>
      </c>
      <c r="M184" s="226">
        <f t="shared" si="27"/>
        <v>2500</v>
      </c>
      <c r="N184" s="19" t="s">
        <v>751</v>
      </c>
      <c r="O184" s="19" t="e">
        <f>N184*J184</f>
        <v>#VALUE!</v>
      </c>
      <c r="P184" s="6"/>
    </row>
    <row r="185" spans="1:21" s="120" customFormat="1" ht="35.1" customHeight="1" outlineLevel="1">
      <c r="A185" s="457"/>
      <c r="B185" s="457"/>
      <c r="C185" s="453" t="s">
        <v>527</v>
      </c>
      <c r="D185" s="454"/>
      <c r="E185" s="438">
        <v>0.35</v>
      </c>
      <c r="F185" s="254" t="s">
        <v>527</v>
      </c>
      <c r="G185" s="387" t="s">
        <v>528</v>
      </c>
      <c r="H185" s="388">
        <v>1</v>
      </c>
      <c r="I185" s="254">
        <f t="shared" si="36"/>
        <v>4095</v>
      </c>
      <c r="J185" s="117">
        <f t="shared" si="32"/>
        <v>4750.2</v>
      </c>
      <c r="K185" s="389">
        <f>L185*1.5</f>
        <v>195</v>
      </c>
      <c r="L185" s="390">
        <v>130</v>
      </c>
      <c r="M185" s="226">
        <f t="shared" si="27"/>
        <v>2600</v>
      </c>
      <c r="N185" s="19" t="s">
        <v>751</v>
      </c>
      <c r="O185" s="19" t="e">
        <f>N185*J185</f>
        <v>#VALUE!</v>
      </c>
      <c r="P185" s="6"/>
    </row>
    <row r="186" spans="1:21" s="304" customFormat="1" ht="35.1" customHeight="1" outlineLevel="1">
      <c r="A186" s="458"/>
      <c r="B186" s="458"/>
      <c r="C186" s="459"/>
      <c r="D186" s="454"/>
      <c r="E186" s="394" t="s">
        <v>634</v>
      </c>
      <c r="F186" s="254" t="s">
        <v>634</v>
      </c>
      <c r="G186" s="387"/>
      <c r="H186" s="388"/>
      <c r="I186" s="254"/>
      <c r="J186" s="117"/>
      <c r="K186" s="389"/>
      <c r="L186" s="390"/>
      <c r="M186" s="226">
        <f t="shared" si="27"/>
        <v>0</v>
      </c>
      <c r="N186" s="19" t="s">
        <v>751</v>
      </c>
      <c r="O186" s="302"/>
      <c r="P186" s="303"/>
    </row>
    <row r="187" spans="1:21" s="19" customFormat="1" ht="35.1" customHeight="1" outlineLevel="1">
      <c r="A187" s="205"/>
      <c r="B187" s="205"/>
      <c r="C187" s="460" t="s">
        <v>570</v>
      </c>
      <c r="D187" s="461"/>
      <c r="E187" s="430"/>
      <c r="F187" s="254" t="s">
        <v>547</v>
      </c>
      <c r="G187" s="387" t="s">
        <v>552</v>
      </c>
      <c r="H187" s="388">
        <v>1</v>
      </c>
      <c r="I187" s="254">
        <f t="shared" ref="I187:I203" si="38">K187*21</f>
        <v>787.5</v>
      </c>
      <c r="J187" s="117">
        <f t="shared" si="32"/>
        <v>913.49999999999989</v>
      </c>
      <c r="K187" s="389">
        <f t="shared" ref="K187:K190" si="39">L187*1.5</f>
        <v>37.5</v>
      </c>
      <c r="L187" s="390">
        <v>25</v>
      </c>
      <c r="M187" s="226">
        <f t="shared" si="27"/>
        <v>500</v>
      </c>
      <c r="N187" s="19" t="s">
        <v>751</v>
      </c>
      <c r="O187"/>
      <c r="P187"/>
      <c r="Q187"/>
    </row>
    <row r="188" spans="1:21" ht="35.1" customHeight="1" outlineLevel="1">
      <c r="A188" s="205"/>
      <c r="B188" s="205"/>
      <c r="C188" s="460" t="s">
        <v>570</v>
      </c>
      <c r="D188" s="461"/>
      <c r="E188" s="430"/>
      <c r="F188" s="254" t="s">
        <v>548</v>
      </c>
      <c r="G188" s="387" t="s">
        <v>553</v>
      </c>
      <c r="H188" s="388">
        <v>1</v>
      </c>
      <c r="I188" s="254">
        <f t="shared" si="38"/>
        <v>7875</v>
      </c>
      <c r="J188" s="117">
        <f t="shared" si="32"/>
        <v>9135</v>
      </c>
      <c r="K188" s="389">
        <f t="shared" si="39"/>
        <v>375</v>
      </c>
      <c r="L188" s="390">
        <v>250</v>
      </c>
      <c r="M188" s="226">
        <f t="shared" si="27"/>
        <v>5000</v>
      </c>
      <c r="N188" s="19" t="s">
        <v>751</v>
      </c>
      <c r="O188"/>
      <c r="P188"/>
      <c r="Q188"/>
      <c r="U188"/>
    </row>
    <row r="189" spans="1:21" ht="35.1" customHeight="1" outlineLevel="1">
      <c r="A189" s="205"/>
      <c r="B189" s="205"/>
      <c r="C189" s="460" t="s">
        <v>570</v>
      </c>
      <c r="D189" s="461"/>
      <c r="E189" s="430"/>
      <c r="F189" s="254" t="s">
        <v>549</v>
      </c>
      <c r="G189" s="387" t="s">
        <v>550</v>
      </c>
      <c r="H189" s="388">
        <v>1</v>
      </c>
      <c r="I189" s="254">
        <f t="shared" si="38"/>
        <v>12600</v>
      </c>
      <c r="J189" s="117">
        <f t="shared" si="32"/>
        <v>14615.999999999998</v>
      </c>
      <c r="K189" s="389">
        <f t="shared" si="39"/>
        <v>600</v>
      </c>
      <c r="L189" s="390">
        <v>400</v>
      </c>
      <c r="M189" s="226">
        <f t="shared" si="27"/>
        <v>8000</v>
      </c>
      <c r="N189" s="19" t="s">
        <v>751</v>
      </c>
      <c r="O189"/>
      <c r="P189"/>
      <c r="Q189"/>
      <c r="U189"/>
    </row>
    <row r="190" spans="1:21" s="205" customFormat="1" ht="35.1" customHeight="1" outlineLevel="1">
      <c r="C190" s="460" t="s">
        <v>447</v>
      </c>
      <c r="D190" s="462"/>
      <c r="E190" s="455"/>
      <c r="F190" s="254" t="s">
        <v>551</v>
      </c>
      <c r="G190" s="387" t="s">
        <v>597</v>
      </c>
      <c r="H190" s="388">
        <v>1</v>
      </c>
      <c r="I190" s="254">
        <f t="shared" si="38"/>
        <v>12600</v>
      </c>
      <c r="J190" s="117">
        <f t="shared" si="32"/>
        <v>14615.999999999998</v>
      </c>
      <c r="K190" s="389">
        <f t="shared" si="39"/>
        <v>600</v>
      </c>
      <c r="L190" s="390">
        <v>400</v>
      </c>
      <c r="M190" s="226">
        <f t="shared" si="27"/>
        <v>8000</v>
      </c>
      <c r="N190" s="19" t="s">
        <v>751</v>
      </c>
      <c r="P190" s="206" t="s">
        <v>530</v>
      </c>
    </row>
    <row r="191" spans="1:21" ht="35.1" customHeight="1">
      <c r="A191" s="205"/>
      <c r="B191" s="205"/>
      <c r="C191" s="463" t="s">
        <v>450</v>
      </c>
      <c r="D191" s="463" t="s">
        <v>450</v>
      </c>
      <c r="E191" s="464"/>
      <c r="F191" s="254" t="s">
        <v>450</v>
      </c>
      <c r="G191" s="387" t="s">
        <v>450</v>
      </c>
      <c r="H191" s="388">
        <v>1</v>
      </c>
      <c r="I191" s="254">
        <f t="shared" si="38"/>
        <v>0</v>
      </c>
      <c r="J191" s="117">
        <f t="shared" si="32"/>
        <v>0</v>
      </c>
      <c r="K191" s="389"/>
      <c r="L191" s="390" t="s">
        <v>450</v>
      </c>
      <c r="M191" s="226" t="e">
        <f t="shared" si="27"/>
        <v>#VALUE!</v>
      </c>
      <c r="N191" s="19" t="s">
        <v>751</v>
      </c>
    </row>
    <row r="192" spans="1:21" ht="35.1" customHeight="1" outlineLevel="1">
      <c r="A192" s="205"/>
      <c r="B192" s="205"/>
      <c r="C192" s="307" t="s">
        <v>450</v>
      </c>
      <c r="D192" s="465" t="s">
        <v>94</v>
      </c>
      <c r="E192" s="430"/>
      <c r="F192" s="254" t="s">
        <v>571</v>
      </c>
      <c r="G192" s="387" t="s">
        <v>101</v>
      </c>
      <c r="H192" s="388">
        <v>1</v>
      </c>
      <c r="I192" s="254">
        <f t="shared" si="38"/>
        <v>4179</v>
      </c>
      <c r="J192" s="117">
        <f t="shared" si="32"/>
        <v>4847.6399999999994</v>
      </c>
      <c r="K192" s="389">
        <f t="shared" ref="K192:K203" si="40">L192*1.99</f>
        <v>199</v>
      </c>
      <c r="L192" s="390">
        <v>100</v>
      </c>
      <c r="M192" s="226">
        <f t="shared" si="27"/>
        <v>2000</v>
      </c>
      <c r="N192" s="19" t="s">
        <v>751</v>
      </c>
    </row>
    <row r="193" spans="1:14" ht="35.1" customHeight="1" outlineLevel="1">
      <c r="A193" s="205"/>
      <c r="B193" s="205"/>
      <c r="C193" s="307" t="s">
        <v>450</v>
      </c>
      <c r="D193" s="465" t="s">
        <v>94</v>
      </c>
      <c r="E193" s="430"/>
      <c r="F193" s="254" t="s">
        <v>572</v>
      </c>
      <c r="G193" s="387" t="s">
        <v>102</v>
      </c>
      <c r="H193" s="388">
        <v>1</v>
      </c>
      <c r="I193" s="254">
        <f t="shared" si="38"/>
        <v>4179</v>
      </c>
      <c r="J193" s="117">
        <f t="shared" si="32"/>
        <v>4847.6399999999994</v>
      </c>
      <c r="K193" s="389">
        <f t="shared" si="40"/>
        <v>199</v>
      </c>
      <c r="L193" s="390">
        <v>100</v>
      </c>
      <c r="M193" s="226">
        <f t="shared" si="27"/>
        <v>2000</v>
      </c>
      <c r="N193" s="19" t="s">
        <v>751</v>
      </c>
    </row>
    <row r="194" spans="1:14" ht="35.1" customHeight="1" outlineLevel="1">
      <c r="A194" s="205"/>
      <c r="B194" s="205"/>
      <c r="C194" s="307" t="s">
        <v>450</v>
      </c>
      <c r="D194" s="465" t="s">
        <v>94</v>
      </c>
      <c r="E194" s="430" t="s">
        <v>56</v>
      </c>
      <c r="F194" s="254" t="s">
        <v>573</v>
      </c>
      <c r="G194" s="387" t="s">
        <v>57</v>
      </c>
      <c r="H194" s="388">
        <v>1</v>
      </c>
      <c r="I194" s="254">
        <f t="shared" si="38"/>
        <v>4179</v>
      </c>
      <c r="J194" s="117">
        <f t="shared" si="32"/>
        <v>4847.6399999999994</v>
      </c>
      <c r="K194" s="389">
        <f t="shared" si="40"/>
        <v>199</v>
      </c>
      <c r="L194" s="390">
        <v>100</v>
      </c>
      <c r="M194" s="226">
        <f t="shared" si="27"/>
        <v>2000</v>
      </c>
      <c r="N194" s="19" t="s">
        <v>751</v>
      </c>
    </row>
    <row r="195" spans="1:14" ht="35.1" customHeight="1" outlineLevel="1">
      <c r="A195" s="205"/>
      <c r="B195" s="205"/>
      <c r="C195" s="307" t="s">
        <v>450</v>
      </c>
      <c r="D195" s="465" t="s">
        <v>94</v>
      </c>
      <c r="E195" s="430" t="s">
        <v>56</v>
      </c>
      <c r="F195" s="254" t="s">
        <v>574</v>
      </c>
      <c r="G195" s="387" t="s">
        <v>58</v>
      </c>
      <c r="H195" s="388">
        <v>1</v>
      </c>
      <c r="I195" s="254">
        <f t="shared" si="38"/>
        <v>3761.1</v>
      </c>
      <c r="J195" s="117">
        <f t="shared" si="32"/>
        <v>4362.8759999999993</v>
      </c>
      <c r="K195" s="389">
        <f t="shared" si="40"/>
        <v>179.1</v>
      </c>
      <c r="L195" s="390">
        <v>90</v>
      </c>
      <c r="M195" s="226">
        <f t="shared" si="27"/>
        <v>1800</v>
      </c>
      <c r="N195" s="19" t="s">
        <v>751</v>
      </c>
    </row>
    <row r="196" spans="1:14" ht="35.1" customHeight="1" outlineLevel="1">
      <c r="A196" s="205"/>
      <c r="B196" s="205"/>
      <c r="C196" s="307" t="s">
        <v>450</v>
      </c>
      <c r="D196" s="465" t="s">
        <v>94</v>
      </c>
      <c r="E196" s="430" t="s">
        <v>56</v>
      </c>
      <c r="F196" s="254" t="s">
        <v>575</v>
      </c>
      <c r="G196" s="387" t="s">
        <v>59</v>
      </c>
      <c r="H196" s="388">
        <v>1</v>
      </c>
      <c r="I196" s="254">
        <f t="shared" si="38"/>
        <v>4805.8499999999995</v>
      </c>
      <c r="J196" s="117">
        <f t="shared" si="32"/>
        <v>5574.7859999999991</v>
      </c>
      <c r="K196" s="389">
        <f t="shared" si="40"/>
        <v>228.85</v>
      </c>
      <c r="L196" s="390">
        <v>115</v>
      </c>
      <c r="M196" s="226">
        <f t="shared" ref="M196:M203" si="41">L196*20</f>
        <v>2300</v>
      </c>
      <c r="N196" s="19" t="s">
        <v>751</v>
      </c>
    </row>
    <row r="197" spans="1:14" s="205" customFormat="1" ht="35.1" customHeight="1" outlineLevel="1">
      <c r="C197" s="307"/>
      <c r="D197" s="308"/>
      <c r="E197" s="394" t="s">
        <v>583</v>
      </c>
      <c r="F197" s="254" t="s">
        <v>583</v>
      </c>
      <c r="G197" s="387"/>
      <c r="H197" s="388"/>
      <c r="I197" s="254"/>
      <c r="J197" s="117"/>
      <c r="K197" s="389"/>
      <c r="L197" s="390"/>
      <c r="M197" s="226">
        <f t="shared" si="41"/>
        <v>0</v>
      </c>
      <c r="N197" s="19" t="s">
        <v>751</v>
      </c>
    </row>
    <row r="198" spans="1:14" s="19" customFormat="1" ht="35.1" customHeight="1" outlineLevel="1">
      <c r="A198" s="205"/>
      <c r="B198" s="205"/>
      <c r="C198" s="307" t="s">
        <v>576</v>
      </c>
      <c r="D198" s="308"/>
      <c r="E198" s="466"/>
      <c r="F198" s="254" t="s">
        <v>577</v>
      </c>
      <c r="G198" s="387" t="s">
        <v>583</v>
      </c>
      <c r="H198" s="388"/>
      <c r="I198" s="254">
        <f t="shared" si="38"/>
        <v>117012</v>
      </c>
      <c r="J198" s="117">
        <f t="shared" si="32"/>
        <v>135733.91999999998</v>
      </c>
      <c r="K198" s="389">
        <f t="shared" si="40"/>
        <v>5572</v>
      </c>
      <c r="L198" s="390">
        <v>2800</v>
      </c>
      <c r="M198" s="226">
        <f t="shared" si="41"/>
        <v>56000</v>
      </c>
      <c r="N198" s="19" t="s">
        <v>751</v>
      </c>
    </row>
    <row r="199" spans="1:14" s="19" customFormat="1" ht="35.1" customHeight="1" outlineLevel="1">
      <c r="A199" s="205"/>
      <c r="B199" s="205"/>
      <c r="C199" s="307" t="s">
        <v>576</v>
      </c>
      <c r="D199" s="308"/>
      <c r="E199" s="466"/>
      <c r="F199" s="254" t="s">
        <v>578</v>
      </c>
      <c r="G199" s="387" t="s">
        <v>583</v>
      </c>
      <c r="H199" s="388"/>
      <c r="I199" s="254">
        <f t="shared" si="38"/>
        <v>154623</v>
      </c>
      <c r="J199" s="117">
        <f t="shared" si="32"/>
        <v>179362.68</v>
      </c>
      <c r="K199" s="389">
        <f t="shared" si="40"/>
        <v>7363</v>
      </c>
      <c r="L199" s="390">
        <v>3700</v>
      </c>
      <c r="M199" s="226">
        <f t="shared" si="41"/>
        <v>74000</v>
      </c>
      <c r="N199" s="19" t="s">
        <v>751</v>
      </c>
    </row>
    <row r="200" spans="1:14" s="19" customFormat="1" ht="35.1" customHeight="1" outlineLevel="1">
      <c r="A200" s="205"/>
      <c r="B200" s="205"/>
      <c r="C200" s="307" t="s">
        <v>576</v>
      </c>
      <c r="D200" s="308"/>
      <c r="E200" s="466"/>
      <c r="F200" s="254" t="s">
        <v>579</v>
      </c>
      <c r="G200" s="387" t="s">
        <v>584</v>
      </c>
      <c r="H200" s="388"/>
      <c r="I200" s="254">
        <f t="shared" si="38"/>
        <v>664461</v>
      </c>
      <c r="J200" s="117">
        <f t="shared" si="32"/>
        <v>770774.75999999989</v>
      </c>
      <c r="K200" s="389">
        <f t="shared" si="40"/>
        <v>31641</v>
      </c>
      <c r="L200" s="390">
        <v>15900</v>
      </c>
      <c r="M200" s="226">
        <f t="shared" si="41"/>
        <v>318000</v>
      </c>
      <c r="N200" s="19" t="s">
        <v>751</v>
      </c>
    </row>
    <row r="201" spans="1:14" ht="23.25">
      <c r="A201" s="205"/>
      <c r="B201" s="205"/>
      <c r="C201" s="307" t="s">
        <v>576</v>
      </c>
      <c r="D201" s="308"/>
      <c r="E201" s="467"/>
      <c r="F201" s="254" t="s">
        <v>580</v>
      </c>
      <c r="G201" s="387" t="s">
        <v>584</v>
      </c>
      <c r="H201" s="388"/>
      <c r="I201" s="254">
        <f t="shared" si="38"/>
        <v>944454</v>
      </c>
      <c r="J201" s="117">
        <f t="shared" si="32"/>
        <v>1095566.6399999999</v>
      </c>
      <c r="K201" s="389">
        <f t="shared" si="40"/>
        <v>44974</v>
      </c>
      <c r="L201" s="390">
        <v>22600</v>
      </c>
      <c r="M201" s="226">
        <f t="shared" si="41"/>
        <v>452000</v>
      </c>
      <c r="N201" s="19" t="s">
        <v>751</v>
      </c>
    </row>
    <row r="202" spans="1:14" s="19" customFormat="1" ht="23.25">
      <c r="A202" s="205"/>
      <c r="B202" s="205"/>
      <c r="C202" s="307" t="s">
        <v>576</v>
      </c>
      <c r="D202" s="308"/>
      <c r="E202" s="467"/>
      <c r="F202" s="254" t="s">
        <v>581</v>
      </c>
      <c r="G202" s="387" t="s">
        <v>584</v>
      </c>
      <c r="H202" s="388"/>
      <c r="I202" s="254">
        <f t="shared" si="38"/>
        <v>1061466</v>
      </c>
      <c r="J202" s="117">
        <f t="shared" si="32"/>
        <v>1231300.5599999998</v>
      </c>
      <c r="K202" s="389">
        <f t="shared" si="40"/>
        <v>50546</v>
      </c>
      <c r="L202" s="390">
        <v>25400</v>
      </c>
      <c r="M202" s="226">
        <f t="shared" si="41"/>
        <v>508000</v>
      </c>
      <c r="N202" s="19" t="s">
        <v>751</v>
      </c>
    </row>
    <row r="203" spans="1:14" s="19" customFormat="1" ht="23.25">
      <c r="A203" s="205"/>
      <c r="B203" s="205"/>
      <c r="C203" s="307" t="s">
        <v>576</v>
      </c>
      <c r="D203" s="308"/>
      <c r="E203" s="467"/>
      <c r="F203" s="254" t="s">
        <v>582</v>
      </c>
      <c r="G203" s="387" t="s">
        <v>584</v>
      </c>
      <c r="H203" s="388"/>
      <c r="I203" s="254">
        <f t="shared" si="38"/>
        <v>1253700</v>
      </c>
      <c r="J203" s="117">
        <f t="shared" si="32"/>
        <v>1454292</v>
      </c>
      <c r="K203" s="389">
        <f t="shared" si="40"/>
        <v>59700</v>
      </c>
      <c r="L203" s="390">
        <v>30000</v>
      </c>
      <c r="M203" s="226">
        <f t="shared" si="41"/>
        <v>600000</v>
      </c>
      <c r="N203" s="19" t="s">
        <v>751</v>
      </c>
    </row>
    <row r="204" spans="1:14" ht="30" customHeight="1">
      <c r="C204" s="249"/>
      <c r="D204" s="7" t="s">
        <v>567</v>
      </c>
      <c r="E204" s="395" t="s">
        <v>390</v>
      </c>
      <c r="F204" s="251" t="s">
        <v>380</v>
      </c>
      <c r="G204" s="251" t="s">
        <v>401</v>
      </c>
      <c r="H204" s="64">
        <v>1</v>
      </c>
      <c r="I204" s="65">
        <v>9601.9137499999997</v>
      </c>
      <c r="J204" s="252">
        <v>9601.9137499999997</v>
      </c>
      <c r="K204" s="7">
        <v>1</v>
      </c>
      <c r="L204" s="7"/>
      <c r="M204" s="250"/>
    </row>
    <row r="205" spans="1:14" s="19" customFormat="1" ht="30" customHeight="1">
      <c r="C205" s="249"/>
      <c r="D205" s="7"/>
      <c r="E205" s="395" t="s">
        <v>389</v>
      </c>
      <c r="F205" s="251" t="s">
        <v>383</v>
      </c>
      <c r="G205" s="251" t="s">
        <v>557</v>
      </c>
      <c r="H205" s="64">
        <v>1</v>
      </c>
      <c r="I205" s="65" t="e">
        <v>#REF!</v>
      </c>
      <c r="J205" s="252" t="e">
        <v>#REF!</v>
      </c>
      <c r="K205" s="7">
        <v>3</v>
      </c>
      <c r="L205" s="7"/>
      <c r="M205" s="250"/>
    </row>
    <row r="206" spans="1:14" s="19" customFormat="1" ht="31.5" customHeight="1">
      <c r="C206" s="249"/>
      <c r="D206" s="7"/>
      <c r="E206" s="395" t="s">
        <v>393</v>
      </c>
      <c r="F206" s="251" t="s">
        <v>384</v>
      </c>
      <c r="G206" s="251" t="s">
        <v>560</v>
      </c>
      <c r="H206" s="64">
        <v>1</v>
      </c>
      <c r="I206" s="65">
        <v>16274.662799999998</v>
      </c>
      <c r="J206" s="252">
        <v>16274.662799999998</v>
      </c>
      <c r="K206" s="7">
        <v>7</v>
      </c>
      <c r="L206" s="7"/>
      <c r="M206" s="250"/>
    </row>
    <row r="207" spans="1:14" s="19" customFormat="1" ht="31.5" customHeight="1">
      <c r="C207" s="249"/>
      <c r="D207" s="7"/>
      <c r="E207" s="395" t="s">
        <v>395</v>
      </c>
      <c r="F207" s="251" t="s">
        <v>385</v>
      </c>
      <c r="G207" s="251" t="s">
        <v>562</v>
      </c>
      <c r="H207" s="64">
        <v>1</v>
      </c>
      <c r="I207" s="65">
        <v>18556.197</v>
      </c>
      <c r="J207" s="252">
        <v>18556.197</v>
      </c>
      <c r="K207" s="7">
        <v>9</v>
      </c>
      <c r="L207" s="7"/>
      <c r="M207" s="250"/>
    </row>
    <row r="208" spans="1:14" s="19" customFormat="1" ht="24" customHeight="1">
      <c r="C208" s="249"/>
      <c r="D208" s="7"/>
      <c r="E208" s="395" t="s">
        <v>397</v>
      </c>
      <c r="F208" s="251" t="s">
        <v>386</v>
      </c>
      <c r="G208" s="251" t="s">
        <v>564</v>
      </c>
      <c r="H208" s="64">
        <v>1</v>
      </c>
      <c r="I208" s="65">
        <v>23002.234200000003</v>
      </c>
      <c r="J208" s="252">
        <v>23002.234200000003</v>
      </c>
      <c r="K208" s="7">
        <v>11</v>
      </c>
      <c r="L208" s="7"/>
      <c r="M208" s="250"/>
    </row>
    <row r="209" spans="3:13" s="19" customFormat="1" ht="38.25" customHeight="1">
      <c r="C209" s="249"/>
      <c r="D209" s="7"/>
      <c r="E209" s="395" t="s">
        <v>398</v>
      </c>
      <c r="F209" s="251" t="s">
        <v>387</v>
      </c>
      <c r="G209" s="251" t="s">
        <v>566</v>
      </c>
      <c r="H209" s="64">
        <v>1</v>
      </c>
      <c r="I209" s="65">
        <v>35601.084999999999</v>
      </c>
      <c r="J209" s="252">
        <v>35601.084999999999</v>
      </c>
      <c r="K209" s="7">
        <v>13</v>
      </c>
      <c r="L209" s="7"/>
      <c r="M209" s="250"/>
    </row>
    <row r="210" spans="3:13" s="19" customFormat="1">
      <c r="C210" s="249"/>
      <c r="D210" s="7"/>
      <c r="E210" s="395"/>
      <c r="F210" s="251"/>
      <c r="G210" s="251"/>
      <c r="H210" s="64"/>
      <c r="I210" s="65"/>
      <c r="J210" s="252"/>
      <c r="K210" s="7"/>
      <c r="L210" s="7"/>
      <c r="M210" s="250"/>
    </row>
    <row r="211" spans="3:13" s="19" customFormat="1">
      <c r="C211" s="249"/>
      <c r="D211" s="7"/>
      <c r="E211" s="395"/>
      <c r="F211" s="251"/>
      <c r="G211" s="251"/>
      <c r="H211" s="64"/>
      <c r="I211" s="65"/>
      <c r="J211" s="252"/>
      <c r="K211" s="7"/>
      <c r="L211" s="7"/>
      <c r="M211" s="250"/>
    </row>
    <row r="212" spans="3:13" s="19" customFormat="1">
      <c r="C212" s="249"/>
      <c r="D212" s="7"/>
      <c r="E212" s="395"/>
      <c r="F212" s="251"/>
      <c r="G212" s="251"/>
      <c r="H212" s="64"/>
      <c r="I212" s="65"/>
      <c r="J212" s="252"/>
      <c r="K212" s="7"/>
      <c r="L212" s="7"/>
      <c r="M212" s="250"/>
    </row>
    <row r="213" spans="3:13" ht="30" customHeight="1">
      <c r="C213" s="249"/>
      <c r="D213" s="7"/>
      <c r="E213" s="395" t="s">
        <v>391</v>
      </c>
      <c r="F213" s="251" t="s">
        <v>453</v>
      </c>
      <c r="G213" s="251" t="s">
        <v>402</v>
      </c>
      <c r="H213" s="64">
        <v>1</v>
      </c>
      <c r="I213" s="65">
        <v>4938.0499999999993</v>
      </c>
      <c r="J213" s="252">
        <v>4938.0499999999993</v>
      </c>
      <c r="K213" s="7">
        <v>2</v>
      </c>
      <c r="L213" s="7"/>
      <c r="M213" s="250"/>
    </row>
    <row r="214" spans="3:13" s="19" customFormat="1" ht="30" customHeight="1">
      <c r="C214" s="249"/>
      <c r="D214" s="7"/>
      <c r="E214" s="395" t="s">
        <v>392</v>
      </c>
      <c r="F214" s="251" t="s">
        <v>454</v>
      </c>
      <c r="G214" s="251" t="s">
        <v>558</v>
      </c>
      <c r="H214" s="64">
        <v>1</v>
      </c>
      <c r="I214" s="65">
        <v>5719.33</v>
      </c>
      <c r="J214" s="252">
        <v>5719.33</v>
      </c>
      <c r="K214" s="7">
        <v>4</v>
      </c>
      <c r="L214" s="7"/>
      <c r="M214" s="250"/>
    </row>
    <row r="215" spans="3:13" s="19" customFormat="1" ht="29.25" customHeight="1">
      <c r="C215" s="249"/>
      <c r="D215" s="7"/>
      <c r="E215" s="395" t="s">
        <v>394</v>
      </c>
      <c r="F215" s="251" t="s">
        <v>455</v>
      </c>
      <c r="G215" s="251" t="s">
        <v>559</v>
      </c>
      <c r="H215" s="64">
        <v>1</v>
      </c>
      <c r="I215" s="65">
        <v>8367.09</v>
      </c>
      <c r="J215" s="252">
        <v>8367.09</v>
      </c>
      <c r="K215" s="7">
        <v>8</v>
      </c>
      <c r="L215" s="7"/>
      <c r="M215" s="250"/>
    </row>
    <row r="216" spans="3:13" s="19" customFormat="1" ht="27" customHeight="1">
      <c r="C216" s="249"/>
      <c r="D216" s="7"/>
      <c r="E216" s="395" t="s">
        <v>396</v>
      </c>
      <c r="F216" s="251" t="s">
        <v>456</v>
      </c>
      <c r="G216" s="251" t="s">
        <v>561</v>
      </c>
      <c r="H216" s="64">
        <v>1</v>
      </c>
      <c r="I216" s="65">
        <v>10062.400000000001</v>
      </c>
      <c r="J216" s="252">
        <v>10062.400000000001</v>
      </c>
      <c r="K216" s="7">
        <v>10</v>
      </c>
      <c r="L216" s="7"/>
      <c r="M216" s="250"/>
    </row>
    <row r="217" spans="3:13" s="19" customFormat="1" ht="30.75" customHeight="1">
      <c r="C217" s="249"/>
      <c r="D217" s="7"/>
      <c r="E217" s="395" t="s">
        <v>399</v>
      </c>
      <c r="F217" s="251" t="s">
        <v>457</v>
      </c>
      <c r="G217" s="251" t="s">
        <v>563</v>
      </c>
      <c r="H217" s="64">
        <v>1</v>
      </c>
      <c r="I217" s="65">
        <v>12706.385</v>
      </c>
      <c r="J217" s="252">
        <v>12706.385</v>
      </c>
      <c r="K217" s="7">
        <v>12</v>
      </c>
      <c r="L217" s="7"/>
      <c r="M217" s="250"/>
    </row>
    <row r="218" spans="3:13" s="19" customFormat="1" ht="27" customHeight="1">
      <c r="C218" s="249"/>
      <c r="D218" s="7"/>
      <c r="E218" s="395" t="s">
        <v>400</v>
      </c>
      <c r="F218" s="251" t="s">
        <v>388</v>
      </c>
      <c r="G218" s="251" t="s">
        <v>565</v>
      </c>
      <c r="H218" s="64">
        <v>1</v>
      </c>
      <c r="I218" s="65">
        <v>20761.2</v>
      </c>
      <c r="J218" s="252">
        <v>20761.2</v>
      </c>
      <c r="K218" s="7">
        <v>14</v>
      </c>
      <c r="L218" s="7"/>
      <c r="M218" s="250"/>
    </row>
    <row r="219" spans="3:13" s="19" customFormat="1">
      <c r="C219" s="249"/>
      <c r="D219" s="7"/>
      <c r="E219" s="395"/>
      <c r="F219" s="251"/>
      <c r="G219" s="251"/>
      <c r="H219" s="64"/>
      <c r="I219" s="65"/>
      <c r="J219" s="252"/>
      <c r="K219" s="7"/>
      <c r="L219" s="7"/>
      <c r="M219" s="250"/>
    </row>
    <row r="220" spans="3:13" s="19" customFormat="1">
      <c r="C220" s="249"/>
      <c r="D220" s="7"/>
      <c r="E220" s="395"/>
      <c r="F220" s="251"/>
      <c r="G220" s="251"/>
      <c r="H220" s="64"/>
      <c r="I220" s="65"/>
      <c r="J220" s="252"/>
      <c r="K220" s="7"/>
      <c r="L220" s="7"/>
      <c r="M220" s="250"/>
    </row>
    <row r="221" spans="3:13" s="19" customFormat="1">
      <c r="C221" s="249"/>
      <c r="D221" s="7"/>
      <c r="E221" s="395"/>
      <c r="F221" s="251"/>
      <c r="G221" s="251"/>
      <c r="H221" s="64"/>
      <c r="I221" s="65"/>
      <c r="J221" s="252"/>
      <c r="K221" s="7"/>
      <c r="L221" s="7"/>
      <c r="M221" s="250"/>
    </row>
    <row r="222" spans="3:13">
      <c r="D222" s="2"/>
      <c r="E222" s="396"/>
      <c r="F222" s="2"/>
      <c r="G222" s="2"/>
      <c r="H222" s="2"/>
      <c r="I222" s="2"/>
      <c r="J222" s="2"/>
      <c r="K222" s="2"/>
      <c r="L222" s="22"/>
    </row>
    <row r="223" spans="3:13">
      <c r="D223" s="2"/>
      <c r="E223" s="396"/>
      <c r="F223" s="2"/>
      <c r="G223" s="2"/>
      <c r="H223" s="2"/>
      <c r="I223" s="2"/>
      <c r="J223" s="2"/>
      <c r="K223" s="2"/>
      <c r="L223" s="22"/>
    </row>
    <row r="224" spans="3:13">
      <c r="D224" s="2"/>
      <c r="E224" s="396"/>
      <c r="F224" s="2"/>
      <c r="G224" s="2"/>
      <c r="H224" s="2"/>
      <c r="I224" s="2"/>
      <c r="J224" s="2"/>
      <c r="K224" s="2"/>
      <c r="L224" s="22"/>
    </row>
    <row r="225" spans="4:12">
      <c r="D225" s="2"/>
      <c r="E225" s="396"/>
      <c r="F225" s="2"/>
      <c r="G225" s="2"/>
      <c r="H225" s="2"/>
      <c r="I225" s="2"/>
      <c r="J225" s="2"/>
      <c r="K225" s="2"/>
      <c r="L225" s="22"/>
    </row>
    <row r="226" spans="4:12">
      <c r="D226" s="2"/>
      <c r="E226" s="396"/>
      <c r="F226" s="2"/>
      <c r="G226" s="2"/>
      <c r="H226" s="2"/>
      <c r="I226" s="2"/>
      <c r="J226" s="2"/>
      <c r="K226" s="2"/>
      <c r="L226" s="22"/>
    </row>
    <row r="227" spans="4:12">
      <c r="D227" s="2"/>
      <c r="E227" s="396"/>
      <c r="F227" s="2"/>
      <c r="G227" s="2"/>
      <c r="H227" s="2"/>
      <c r="I227" s="2"/>
      <c r="J227" s="2"/>
      <c r="K227" s="2"/>
      <c r="L227" s="22"/>
    </row>
    <row r="228" spans="4:12">
      <c r="D228" s="2"/>
      <c r="E228" s="396"/>
      <c r="F228" s="2"/>
      <c r="G228" s="2"/>
      <c r="H228" s="2"/>
      <c r="I228" s="2"/>
      <c r="J228" s="2"/>
      <c r="K228" s="2"/>
      <c r="L228" s="22"/>
    </row>
    <row r="229" spans="4:12">
      <c r="D229" s="2"/>
      <c r="E229" s="396"/>
      <c r="F229" s="2"/>
      <c r="G229" s="2"/>
      <c r="H229" s="2"/>
      <c r="I229" s="2"/>
      <c r="J229" s="2"/>
      <c r="K229" s="2"/>
      <c r="L229" s="22"/>
    </row>
    <row r="230" spans="4:12">
      <c r="D230" s="2"/>
      <c r="E230" s="396"/>
      <c r="F230" s="2"/>
      <c r="G230" s="2"/>
      <c r="H230" s="2"/>
      <c r="I230" s="2"/>
      <c r="J230" s="2"/>
      <c r="K230" s="2"/>
      <c r="L230" s="22"/>
    </row>
    <row r="231" spans="4:12">
      <c r="D231" s="2"/>
      <c r="E231" s="396"/>
      <c r="F231" s="2"/>
      <c r="G231" s="2"/>
      <c r="H231" s="2"/>
      <c r="I231" s="2"/>
      <c r="J231" s="2"/>
      <c r="K231" s="2"/>
      <c r="L231" s="22"/>
    </row>
    <row r="232" spans="4:12">
      <c r="D232" s="2"/>
      <c r="E232" s="396"/>
      <c r="F232" s="2"/>
      <c r="G232" s="2"/>
      <c r="H232" s="2"/>
      <c r="I232" s="2"/>
      <c r="J232" s="2"/>
      <c r="K232" s="2"/>
      <c r="L232" s="22"/>
    </row>
    <row r="233" spans="4:12">
      <c r="D233" s="2"/>
      <c r="E233" s="396"/>
      <c r="F233" s="2"/>
      <c r="G233" s="2"/>
      <c r="H233" s="2"/>
      <c r="I233" s="2"/>
      <c r="J233" s="2"/>
      <c r="K233" s="2"/>
      <c r="L233" s="22"/>
    </row>
    <row r="234" spans="4:12">
      <c r="D234" s="2"/>
      <c r="E234" s="396"/>
      <c r="F234" s="2"/>
      <c r="G234" s="2"/>
      <c r="H234" s="2"/>
      <c r="I234" s="2"/>
      <c r="J234" s="2"/>
      <c r="K234" s="2"/>
      <c r="L234" s="22"/>
    </row>
    <row r="235" spans="4:12">
      <c r="D235" s="2"/>
      <c r="E235" s="396"/>
      <c r="F235" s="2"/>
      <c r="G235" s="2"/>
      <c r="H235" s="2"/>
      <c r="I235" s="2"/>
      <c r="J235" s="2"/>
      <c r="K235" s="2"/>
      <c r="L235" s="22"/>
    </row>
    <row r="236" spans="4:12">
      <c r="D236" s="2"/>
      <c r="E236" s="396"/>
      <c r="F236" s="2"/>
      <c r="G236" s="2"/>
      <c r="H236" s="2"/>
      <c r="I236" s="2"/>
      <c r="J236" s="2"/>
      <c r="K236" s="2"/>
      <c r="L236" s="22"/>
    </row>
    <row r="237" spans="4:12">
      <c r="D237" s="2"/>
      <c r="E237" s="396"/>
      <c r="F237" s="2"/>
      <c r="G237" s="2"/>
      <c r="H237" s="2"/>
      <c r="I237" s="2"/>
      <c r="J237" s="2"/>
      <c r="K237" s="2"/>
      <c r="L237" s="22"/>
    </row>
    <row r="238" spans="4:12">
      <c r="D238" s="2"/>
      <c r="E238" s="396"/>
      <c r="F238" s="2"/>
      <c r="G238" s="2"/>
      <c r="H238" s="2"/>
      <c r="I238" s="2"/>
      <c r="J238" s="2"/>
      <c r="K238" s="2"/>
      <c r="L238" s="22"/>
    </row>
    <row r="239" spans="4:12">
      <c r="D239" s="2"/>
      <c r="E239" s="396"/>
      <c r="F239" s="2"/>
      <c r="G239" s="2"/>
      <c r="H239" s="2"/>
      <c r="I239" s="2"/>
      <c r="J239" s="2"/>
      <c r="K239" s="2"/>
      <c r="L239" s="22"/>
    </row>
    <row r="240" spans="4:12">
      <c r="D240" s="2"/>
      <c r="E240" s="396"/>
      <c r="F240" s="2"/>
      <c r="G240" s="2"/>
      <c r="H240" s="2"/>
      <c r="I240" s="2"/>
      <c r="J240" s="2"/>
      <c r="K240" s="2"/>
      <c r="L240" s="22"/>
    </row>
    <row r="241" spans="4:12">
      <c r="D241" s="2"/>
      <c r="E241" s="396"/>
      <c r="F241" s="2"/>
      <c r="G241" s="2"/>
      <c r="H241" s="2"/>
      <c r="I241" s="2"/>
      <c r="J241" s="2"/>
      <c r="K241" s="2"/>
      <c r="L241" s="22"/>
    </row>
    <row r="242" spans="4:12">
      <c r="D242" s="2"/>
      <c r="E242" s="396"/>
      <c r="F242" s="2"/>
      <c r="G242" s="2"/>
      <c r="H242" s="2"/>
      <c r="I242" s="2"/>
      <c r="J242" s="2"/>
      <c r="K242" s="2"/>
      <c r="L242" s="22"/>
    </row>
    <row r="243" spans="4:12">
      <c r="D243" s="2"/>
      <c r="E243" s="396"/>
      <c r="F243" s="2"/>
      <c r="G243" s="2"/>
      <c r="H243" s="2"/>
      <c r="I243" s="2"/>
      <c r="J243" s="2"/>
      <c r="K243" s="2"/>
      <c r="L243" s="22"/>
    </row>
    <row r="244" spans="4:12">
      <c r="D244" s="2"/>
      <c r="E244" s="396"/>
      <c r="F244" s="2"/>
      <c r="G244" s="2"/>
      <c r="H244" s="2"/>
      <c r="I244" s="2"/>
      <c r="J244" s="2"/>
      <c r="K244" s="2"/>
      <c r="L244" s="22"/>
    </row>
    <row r="245" spans="4:12">
      <c r="D245" s="2"/>
      <c r="E245" s="396"/>
      <c r="F245" s="2"/>
      <c r="G245" s="2"/>
      <c r="H245" s="2"/>
      <c r="I245" s="2"/>
      <c r="J245" s="2"/>
      <c r="K245" s="2"/>
      <c r="L245" s="22"/>
    </row>
    <row r="246" spans="4:12">
      <c r="D246" s="2"/>
      <c r="E246" s="396"/>
      <c r="F246" s="2"/>
      <c r="G246" s="2"/>
      <c r="H246" s="2"/>
      <c r="I246" s="2"/>
      <c r="J246" s="2"/>
      <c r="K246" s="2"/>
      <c r="L246" s="22"/>
    </row>
    <row r="247" spans="4:12">
      <c r="D247" s="2"/>
      <c r="E247" s="396"/>
      <c r="F247" s="2"/>
      <c r="G247" s="2"/>
      <c r="H247" s="2"/>
      <c r="I247" s="2"/>
      <c r="J247" s="2"/>
      <c r="K247" s="2"/>
      <c r="L247" s="22"/>
    </row>
    <row r="248" spans="4:12">
      <c r="D248" s="2"/>
      <c r="E248" s="396"/>
      <c r="F248" s="2"/>
      <c r="G248" s="2"/>
      <c r="H248" s="2"/>
      <c r="I248" s="2"/>
      <c r="J248" s="2"/>
      <c r="K248" s="2"/>
      <c r="L248" s="22"/>
    </row>
    <row r="249" spans="4:12">
      <c r="D249" s="2"/>
      <c r="E249" s="396"/>
      <c r="F249" s="2"/>
      <c r="G249" s="2"/>
      <c r="H249" s="2"/>
      <c r="I249" s="2"/>
      <c r="J249" s="2"/>
      <c r="K249" s="2"/>
      <c r="L249" s="22"/>
    </row>
    <row r="250" spans="4:12">
      <c r="D250" s="2"/>
      <c r="E250" s="396"/>
      <c r="F250" s="2"/>
      <c r="G250" s="2"/>
      <c r="H250" s="2"/>
      <c r="I250" s="2"/>
      <c r="J250" s="2"/>
      <c r="K250" s="2"/>
      <c r="L250" s="22"/>
    </row>
    <row r="251" spans="4:12">
      <c r="D251" s="2"/>
      <c r="E251" s="396"/>
      <c r="F251" s="2"/>
      <c r="G251" s="2"/>
      <c r="H251" s="2"/>
      <c r="I251" s="2"/>
      <c r="J251" s="2"/>
      <c r="K251" s="2"/>
      <c r="L251" s="22"/>
    </row>
    <row r="252" spans="4:12">
      <c r="D252" s="2"/>
      <c r="E252" s="396"/>
      <c r="F252" s="2"/>
      <c r="G252" s="2"/>
      <c r="H252" s="2"/>
      <c r="I252" s="2"/>
      <c r="J252" s="2"/>
      <c r="K252" s="2"/>
      <c r="L252" s="22"/>
    </row>
    <row r="253" spans="4:12">
      <c r="D253" s="2"/>
      <c r="E253" s="396"/>
      <c r="F253" s="2"/>
      <c r="G253" s="2"/>
      <c r="H253" s="2"/>
      <c r="I253" s="2"/>
      <c r="J253" s="2"/>
      <c r="K253" s="2"/>
      <c r="L253" s="22"/>
    </row>
    <row r="254" spans="4:12">
      <c r="D254" s="2"/>
      <c r="E254" s="396"/>
      <c r="F254" s="2"/>
      <c r="G254" s="2"/>
      <c r="H254" s="2"/>
      <c r="I254" s="2"/>
      <c r="J254" s="2"/>
      <c r="K254" s="2"/>
      <c r="L254" s="22"/>
    </row>
    <row r="255" spans="4:12">
      <c r="D255" s="2"/>
      <c r="E255" s="396"/>
      <c r="F255" s="2"/>
      <c r="G255" s="2"/>
      <c r="H255" s="2"/>
      <c r="I255" s="2"/>
      <c r="J255" s="2"/>
      <c r="K255" s="2"/>
      <c r="L255" s="22"/>
    </row>
    <row r="256" spans="4:12">
      <c r="D256" s="2"/>
      <c r="E256" s="396"/>
      <c r="F256" s="2"/>
      <c r="G256" s="2"/>
      <c r="H256" s="2"/>
      <c r="I256" s="2"/>
      <c r="J256" s="2"/>
      <c r="K256" s="2"/>
      <c r="L256" s="22"/>
    </row>
    <row r="257" spans="4:12">
      <c r="D257" s="2"/>
      <c r="E257" s="396"/>
      <c r="F257" s="2"/>
      <c r="G257" s="2"/>
      <c r="H257" s="2"/>
      <c r="I257" s="2"/>
      <c r="J257" s="2"/>
      <c r="K257" s="2"/>
      <c r="L257" s="22"/>
    </row>
    <row r="258" spans="4:12">
      <c r="D258" s="2"/>
      <c r="E258" s="396"/>
      <c r="F258" s="2"/>
      <c r="G258" s="2"/>
      <c r="H258" s="2"/>
      <c r="I258" s="2"/>
      <c r="J258" s="2"/>
      <c r="K258" s="2"/>
      <c r="L258" s="22"/>
    </row>
    <row r="259" spans="4:12">
      <c r="D259" s="2"/>
      <c r="E259" s="396"/>
      <c r="F259" s="2"/>
      <c r="G259" s="2"/>
      <c r="H259" s="2"/>
      <c r="I259" s="2"/>
      <c r="J259" s="2"/>
      <c r="K259" s="2"/>
      <c r="L259" s="22"/>
    </row>
    <row r="260" spans="4:12">
      <c r="D260" s="2"/>
      <c r="E260" s="396"/>
      <c r="F260" s="2"/>
      <c r="G260" s="2"/>
      <c r="H260" s="2"/>
      <c r="I260" s="2"/>
      <c r="J260" s="2"/>
      <c r="K260" s="2"/>
      <c r="L260" s="22"/>
    </row>
    <row r="261" spans="4:12">
      <c r="D261" s="2"/>
      <c r="E261" s="396"/>
      <c r="F261" s="2"/>
      <c r="G261" s="2"/>
      <c r="H261" s="2"/>
      <c r="I261" s="2"/>
      <c r="J261" s="2"/>
      <c r="K261" s="2"/>
      <c r="L261" s="22"/>
    </row>
    <row r="262" spans="4:12">
      <c r="D262" s="2"/>
      <c r="E262" s="396"/>
      <c r="F262" s="2"/>
      <c r="G262" s="2"/>
      <c r="H262" s="2"/>
      <c r="I262" s="2"/>
      <c r="J262" s="2"/>
      <c r="K262" s="2"/>
      <c r="L262" s="22"/>
    </row>
    <row r="263" spans="4:12">
      <c r="D263" s="2"/>
      <c r="E263" s="396"/>
      <c r="F263" s="2"/>
      <c r="G263" s="2"/>
      <c r="H263" s="2"/>
      <c r="I263" s="2"/>
      <c r="J263" s="2"/>
      <c r="K263" s="2"/>
      <c r="L263" s="22"/>
    </row>
    <row r="264" spans="4:12">
      <c r="D264" s="2"/>
      <c r="E264" s="396"/>
      <c r="F264" s="2"/>
      <c r="G264" s="2"/>
      <c r="H264" s="2"/>
      <c r="I264" s="2"/>
      <c r="J264" s="2"/>
      <c r="K264" s="2"/>
      <c r="L264" s="22"/>
    </row>
    <row r="265" spans="4:12">
      <c r="D265" s="2"/>
      <c r="E265" s="396"/>
      <c r="F265" s="2"/>
      <c r="G265" s="2"/>
      <c r="H265" s="2"/>
      <c r="I265" s="2"/>
      <c r="J265" s="2"/>
      <c r="K265" s="2"/>
      <c r="L265" s="22"/>
    </row>
    <row r="266" spans="4:12">
      <c r="D266" s="2"/>
      <c r="E266" s="396"/>
      <c r="F266" s="2"/>
      <c r="G266" s="2"/>
      <c r="H266" s="2"/>
      <c r="I266" s="2"/>
      <c r="J266" s="2"/>
      <c r="K266" s="2"/>
      <c r="L266" s="22"/>
    </row>
    <row r="267" spans="4:12">
      <c r="D267" s="2"/>
      <c r="E267" s="396"/>
      <c r="F267" s="2"/>
      <c r="G267" s="2"/>
      <c r="H267" s="2"/>
      <c r="I267" s="2"/>
      <c r="J267" s="2"/>
      <c r="K267" s="2"/>
      <c r="L267" s="22"/>
    </row>
    <row r="268" spans="4:12">
      <c r="D268" s="2"/>
      <c r="E268" s="396"/>
      <c r="F268" s="2"/>
      <c r="G268" s="2"/>
      <c r="H268" s="2"/>
      <c r="I268" s="2"/>
      <c r="J268" s="2"/>
      <c r="K268" s="2"/>
      <c r="L268" s="22"/>
    </row>
    <row r="269" spans="4:12">
      <c r="D269" s="2"/>
      <c r="E269" s="396"/>
      <c r="F269" s="2"/>
      <c r="G269" s="2"/>
      <c r="H269" s="2"/>
      <c r="I269" s="2"/>
      <c r="J269" s="2"/>
      <c r="K269" s="2"/>
      <c r="L269" s="22"/>
    </row>
    <row r="270" spans="4:12">
      <c r="D270" s="2"/>
      <c r="E270" s="396"/>
      <c r="F270" s="2"/>
      <c r="G270" s="2"/>
      <c r="H270" s="2"/>
      <c r="I270" s="2"/>
      <c r="J270" s="2"/>
      <c r="K270" s="2"/>
      <c r="L270" s="22"/>
    </row>
    <row r="271" spans="4:12">
      <c r="D271" s="2"/>
      <c r="E271" s="396"/>
      <c r="F271" s="2"/>
      <c r="G271" s="2"/>
      <c r="H271" s="2"/>
      <c r="I271" s="2"/>
      <c r="J271" s="2"/>
      <c r="K271" s="2"/>
      <c r="L271" s="22"/>
    </row>
    <row r="272" spans="4:12">
      <c r="D272" s="2"/>
      <c r="E272" s="396"/>
      <c r="F272" s="2"/>
      <c r="G272" s="2"/>
      <c r="H272" s="2"/>
      <c r="I272" s="2"/>
      <c r="J272" s="2"/>
      <c r="K272" s="2"/>
      <c r="L272" s="22"/>
    </row>
    <row r="273" spans="4:12">
      <c r="D273" s="2"/>
      <c r="E273" s="396"/>
      <c r="F273" s="2"/>
      <c r="G273" s="2"/>
      <c r="H273" s="2"/>
      <c r="I273" s="2"/>
      <c r="J273" s="2"/>
      <c r="K273" s="2"/>
      <c r="L273" s="22"/>
    </row>
    <row r="274" spans="4:12">
      <c r="D274" s="2"/>
      <c r="E274" s="396"/>
      <c r="F274" s="2"/>
      <c r="G274" s="2"/>
      <c r="H274" s="2"/>
      <c r="I274" s="2"/>
      <c r="J274" s="2"/>
      <c r="K274" s="2"/>
      <c r="L274" s="22"/>
    </row>
    <row r="275" spans="4:12">
      <c r="D275" s="2"/>
      <c r="E275" s="396"/>
      <c r="F275" s="2"/>
      <c r="G275" s="2"/>
      <c r="H275" s="2"/>
      <c r="I275" s="2"/>
      <c r="J275" s="2"/>
      <c r="K275" s="2"/>
      <c r="L275" s="22"/>
    </row>
    <row r="276" spans="4:12">
      <c r="D276" s="2"/>
      <c r="E276" s="396"/>
      <c r="F276" s="2"/>
      <c r="G276" s="2"/>
      <c r="H276" s="2"/>
      <c r="I276" s="2"/>
      <c r="J276" s="2"/>
      <c r="K276" s="2"/>
      <c r="L276" s="22"/>
    </row>
    <row r="277" spans="4:12">
      <c r="D277" s="2"/>
      <c r="E277" s="396"/>
      <c r="F277" s="2"/>
      <c r="G277" s="2"/>
      <c r="H277" s="2"/>
      <c r="I277" s="2"/>
      <c r="J277" s="2"/>
      <c r="K277" s="2"/>
      <c r="L277" s="22"/>
    </row>
    <row r="278" spans="4:12">
      <c r="D278" s="2"/>
      <c r="E278" s="396"/>
      <c r="F278" s="2"/>
      <c r="G278" s="2"/>
      <c r="H278" s="2"/>
      <c r="I278" s="2"/>
      <c r="J278" s="2"/>
      <c r="K278" s="2"/>
      <c r="L278" s="22"/>
    </row>
    <row r="279" spans="4:12">
      <c r="D279" s="2"/>
      <c r="E279" s="396"/>
      <c r="F279" s="2"/>
      <c r="G279" s="2"/>
      <c r="H279" s="2"/>
      <c r="I279" s="2"/>
      <c r="J279" s="2"/>
      <c r="K279" s="2"/>
      <c r="L279" s="22"/>
    </row>
    <row r="280" spans="4:12">
      <c r="D280" s="2"/>
      <c r="E280" s="396"/>
      <c r="F280" s="2"/>
      <c r="G280" s="2"/>
      <c r="H280" s="2"/>
      <c r="I280" s="2"/>
      <c r="J280" s="2"/>
      <c r="K280" s="2"/>
      <c r="L280" s="22"/>
    </row>
    <row r="281" spans="4:12">
      <c r="D281" s="2"/>
      <c r="E281" s="396"/>
      <c r="F281" s="2"/>
      <c r="G281" s="2"/>
      <c r="H281" s="2"/>
      <c r="I281" s="2"/>
      <c r="J281" s="2"/>
      <c r="K281" s="2"/>
      <c r="L281" s="22"/>
    </row>
    <row r="282" spans="4:12">
      <c r="D282" s="2"/>
      <c r="E282" s="396"/>
      <c r="F282" s="2"/>
      <c r="G282" s="2"/>
      <c r="H282" s="2"/>
      <c r="I282" s="2"/>
      <c r="J282" s="2"/>
      <c r="K282" s="2"/>
      <c r="L282" s="22"/>
    </row>
    <row r="283" spans="4:12">
      <c r="D283" s="2"/>
      <c r="E283" s="396"/>
      <c r="F283" s="2"/>
      <c r="G283" s="2"/>
      <c r="H283" s="2"/>
      <c r="I283" s="2"/>
      <c r="J283" s="2"/>
      <c r="K283" s="2"/>
      <c r="L283" s="22"/>
    </row>
    <row r="284" spans="4:12">
      <c r="D284" s="2"/>
      <c r="E284" s="396"/>
      <c r="F284" s="2"/>
      <c r="G284" s="2"/>
      <c r="H284" s="2"/>
      <c r="I284" s="2"/>
      <c r="J284" s="2"/>
      <c r="K284" s="2"/>
      <c r="L284" s="22"/>
    </row>
    <row r="285" spans="4:12">
      <c r="D285" s="2"/>
      <c r="E285" s="396"/>
      <c r="F285" s="2"/>
      <c r="G285" s="2"/>
      <c r="H285" s="2"/>
      <c r="I285" s="2"/>
      <c r="J285" s="2"/>
      <c r="K285" s="2"/>
      <c r="L285" s="22"/>
    </row>
    <row r="286" spans="4:12">
      <c r="D286" s="2"/>
      <c r="E286" s="396"/>
      <c r="F286" s="2"/>
      <c r="G286" s="2"/>
      <c r="H286" s="2"/>
      <c r="I286" s="2"/>
      <c r="J286" s="2"/>
      <c r="K286" s="2"/>
      <c r="L286" s="22"/>
    </row>
    <row r="287" spans="4:12">
      <c r="D287" s="2"/>
      <c r="E287" s="396"/>
      <c r="F287" s="2"/>
      <c r="G287" s="2"/>
      <c r="H287" s="2"/>
      <c r="I287" s="2"/>
      <c r="J287" s="2"/>
      <c r="K287" s="2"/>
      <c r="L287" s="22"/>
    </row>
    <row r="288" spans="4:12">
      <c r="D288" s="2"/>
      <c r="E288" s="396"/>
      <c r="F288" s="2"/>
      <c r="G288" s="2"/>
      <c r="H288" s="2"/>
      <c r="I288" s="2"/>
      <c r="J288" s="2"/>
      <c r="K288" s="2"/>
      <c r="L288" s="22"/>
    </row>
    <row r="289" spans="4:12">
      <c r="D289" s="2"/>
      <c r="E289" s="396"/>
      <c r="F289" s="2"/>
      <c r="G289" s="2"/>
      <c r="H289" s="2"/>
      <c r="I289" s="2"/>
      <c r="J289" s="2"/>
      <c r="K289" s="2"/>
      <c r="L289" s="22"/>
    </row>
    <row r="290" spans="4:12">
      <c r="D290" s="2"/>
      <c r="E290" s="396"/>
      <c r="F290" s="2"/>
      <c r="G290" s="2"/>
      <c r="H290" s="2"/>
      <c r="I290" s="2"/>
      <c r="J290" s="2"/>
      <c r="K290" s="2"/>
      <c r="L290" s="22"/>
    </row>
    <row r="291" spans="4:12">
      <c r="D291" s="2"/>
      <c r="E291" s="396"/>
      <c r="F291" s="2"/>
      <c r="G291" s="2"/>
      <c r="H291" s="2"/>
      <c r="I291" s="2"/>
      <c r="J291" s="2"/>
      <c r="K291" s="2"/>
      <c r="L291" s="22"/>
    </row>
    <row r="292" spans="4:12">
      <c r="D292" s="2"/>
      <c r="E292" s="396"/>
      <c r="F292" s="2"/>
      <c r="G292" s="2"/>
      <c r="H292" s="2"/>
      <c r="I292" s="2"/>
      <c r="J292" s="2"/>
      <c r="K292" s="2"/>
      <c r="L292" s="22"/>
    </row>
    <row r="293" spans="4:12">
      <c r="D293" s="2"/>
      <c r="E293" s="396"/>
      <c r="F293" s="2"/>
      <c r="G293" s="2"/>
      <c r="H293" s="2"/>
      <c r="I293" s="2"/>
      <c r="J293" s="2"/>
      <c r="K293" s="2"/>
      <c r="L293" s="22"/>
    </row>
    <row r="294" spans="4:12">
      <c r="D294" s="2"/>
      <c r="E294" s="396"/>
      <c r="F294" s="2"/>
      <c r="G294" s="2"/>
      <c r="H294" s="2"/>
      <c r="I294" s="2"/>
      <c r="J294" s="2"/>
      <c r="K294" s="2"/>
      <c r="L294" s="22"/>
    </row>
    <row r="295" spans="4:12">
      <c r="D295" s="2"/>
      <c r="E295" s="396"/>
      <c r="F295" s="2"/>
      <c r="G295" s="2"/>
      <c r="H295" s="2"/>
      <c r="I295" s="2"/>
      <c r="J295" s="2"/>
      <c r="K295" s="2"/>
      <c r="L295" s="22"/>
    </row>
    <row r="296" spans="4:12">
      <c r="D296" s="2"/>
      <c r="E296" s="396"/>
      <c r="F296" s="2"/>
      <c r="G296" s="2"/>
      <c r="H296" s="2"/>
      <c r="I296" s="2"/>
      <c r="J296" s="2"/>
      <c r="K296" s="2"/>
      <c r="L296" s="22"/>
    </row>
    <row r="297" spans="4:12">
      <c r="D297" s="2"/>
      <c r="E297" s="396"/>
      <c r="F297" s="2"/>
      <c r="G297" s="2"/>
      <c r="H297" s="2"/>
      <c r="I297" s="2"/>
      <c r="J297" s="2"/>
      <c r="K297" s="2"/>
      <c r="L297" s="22"/>
    </row>
    <row r="298" spans="4:12">
      <c r="D298" s="2"/>
      <c r="E298" s="396"/>
      <c r="F298" s="2"/>
      <c r="G298" s="2"/>
      <c r="H298" s="2"/>
      <c r="I298" s="2"/>
      <c r="J298" s="2"/>
      <c r="K298" s="2"/>
      <c r="L298" s="22"/>
    </row>
    <row r="299" spans="4:12">
      <c r="D299" s="2"/>
      <c r="E299" s="396"/>
      <c r="F299" s="2"/>
      <c r="G299" s="2"/>
      <c r="H299" s="2"/>
      <c r="I299" s="2"/>
      <c r="J299" s="2"/>
      <c r="K299" s="2"/>
      <c r="L299" s="22"/>
    </row>
    <row r="300" spans="4:12">
      <c r="D300" s="2"/>
      <c r="E300" s="396"/>
      <c r="F300" s="2"/>
      <c r="G300" s="2"/>
      <c r="H300" s="2"/>
      <c r="I300" s="2"/>
      <c r="J300" s="2"/>
      <c r="K300" s="2"/>
      <c r="L300" s="22"/>
    </row>
    <row r="301" spans="4:12">
      <c r="D301" s="2"/>
      <c r="E301" s="396"/>
      <c r="F301" s="2"/>
      <c r="G301" s="2"/>
      <c r="H301" s="2"/>
      <c r="I301" s="2"/>
      <c r="J301" s="2"/>
      <c r="K301" s="2"/>
      <c r="L301" s="22"/>
    </row>
    <row r="302" spans="4:12">
      <c r="D302" s="2"/>
      <c r="E302" s="396"/>
      <c r="F302" s="2"/>
      <c r="G302" s="2"/>
      <c r="H302" s="2"/>
      <c r="I302" s="2"/>
      <c r="J302" s="2"/>
      <c r="K302" s="2"/>
      <c r="L302" s="22"/>
    </row>
    <row r="303" spans="4:12">
      <c r="D303" s="2"/>
      <c r="E303" s="396"/>
      <c r="F303" s="2"/>
      <c r="G303" s="2"/>
      <c r="H303" s="2"/>
      <c r="I303" s="2"/>
      <c r="J303" s="2"/>
      <c r="K303" s="2"/>
      <c r="L303" s="22"/>
    </row>
    <row r="304" spans="4:12">
      <c r="D304" s="2"/>
      <c r="E304" s="396"/>
      <c r="F304" s="2"/>
      <c r="G304" s="2"/>
      <c r="H304" s="2"/>
      <c r="I304" s="2"/>
      <c r="J304" s="2"/>
      <c r="K304" s="2"/>
      <c r="L304" s="22"/>
    </row>
    <row r="305" spans="4:12">
      <c r="D305" s="2"/>
      <c r="E305" s="396"/>
      <c r="F305" s="2"/>
      <c r="G305" s="2"/>
      <c r="H305" s="2"/>
      <c r="I305" s="2"/>
      <c r="J305" s="2"/>
      <c r="K305" s="2"/>
      <c r="L305" s="22"/>
    </row>
    <row r="306" spans="4:12">
      <c r="D306" s="2"/>
      <c r="E306" s="396"/>
      <c r="F306" s="2"/>
      <c r="G306" s="2"/>
      <c r="H306" s="2"/>
      <c r="I306" s="2"/>
      <c r="J306" s="2"/>
      <c r="K306" s="2"/>
      <c r="L306" s="22"/>
    </row>
    <row r="307" spans="4:12">
      <c r="D307" s="2"/>
      <c r="E307" s="396"/>
      <c r="F307" s="2"/>
      <c r="G307" s="2"/>
      <c r="H307" s="2"/>
      <c r="I307" s="2"/>
      <c r="J307" s="2"/>
      <c r="K307" s="2"/>
      <c r="L307" s="22"/>
    </row>
    <row r="308" spans="4:12">
      <c r="D308" s="2"/>
      <c r="E308" s="396"/>
      <c r="F308" s="2"/>
      <c r="G308" s="2"/>
      <c r="H308" s="2"/>
      <c r="I308" s="2"/>
      <c r="J308" s="2"/>
      <c r="K308" s="2"/>
      <c r="L308" s="22"/>
    </row>
    <row r="309" spans="4:12">
      <c r="D309" s="2"/>
      <c r="E309" s="396"/>
      <c r="F309" s="2"/>
      <c r="G309" s="2"/>
      <c r="H309" s="2"/>
      <c r="I309" s="2"/>
      <c r="J309" s="2"/>
      <c r="K309" s="2"/>
      <c r="L309" s="22"/>
    </row>
    <row r="310" spans="4:12">
      <c r="D310" s="2"/>
      <c r="E310" s="396"/>
      <c r="F310" s="2"/>
      <c r="G310" s="2"/>
      <c r="H310" s="2"/>
      <c r="I310" s="2"/>
      <c r="J310" s="2"/>
      <c r="K310" s="2"/>
      <c r="L310" s="22"/>
    </row>
    <row r="311" spans="4:12">
      <c r="D311" s="2"/>
      <c r="E311" s="396"/>
      <c r="F311" s="2"/>
      <c r="G311" s="2"/>
      <c r="H311" s="2"/>
      <c r="I311" s="2"/>
      <c r="J311" s="2"/>
      <c r="K311" s="2"/>
      <c r="L311" s="22"/>
    </row>
    <row r="312" spans="4:12">
      <c r="D312" s="2"/>
      <c r="E312" s="396"/>
      <c r="F312" s="2"/>
      <c r="G312" s="2"/>
      <c r="H312" s="2"/>
      <c r="I312" s="2"/>
      <c r="J312" s="2"/>
      <c r="K312" s="2"/>
      <c r="L312" s="22"/>
    </row>
    <row r="313" spans="4:12">
      <c r="D313" s="2"/>
      <c r="E313" s="396"/>
      <c r="F313" s="2"/>
      <c r="G313" s="2"/>
      <c r="H313" s="2"/>
      <c r="I313" s="2"/>
      <c r="J313" s="2"/>
      <c r="K313" s="2"/>
      <c r="L313" s="22"/>
    </row>
    <row r="314" spans="4:12">
      <c r="D314" s="2"/>
      <c r="E314" s="396"/>
      <c r="F314" s="2"/>
      <c r="G314" s="2"/>
      <c r="H314" s="2"/>
      <c r="I314" s="2"/>
      <c r="J314" s="2"/>
      <c r="K314" s="2"/>
      <c r="L314" s="22"/>
    </row>
    <row r="315" spans="4:12">
      <c r="D315" s="2"/>
      <c r="E315" s="396"/>
      <c r="F315" s="2"/>
      <c r="G315" s="2"/>
      <c r="H315" s="2"/>
      <c r="I315" s="2"/>
      <c r="J315" s="2"/>
      <c r="K315" s="2"/>
      <c r="L315" s="22"/>
    </row>
    <row r="316" spans="4:12">
      <c r="D316" s="2"/>
      <c r="E316" s="396"/>
      <c r="F316" s="2"/>
      <c r="G316" s="2"/>
      <c r="H316" s="2"/>
      <c r="I316" s="2"/>
      <c r="J316" s="2"/>
      <c r="K316" s="2"/>
      <c r="L316" s="22"/>
    </row>
    <row r="317" spans="4:12">
      <c r="D317" s="2"/>
      <c r="E317" s="396"/>
      <c r="F317" s="2"/>
      <c r="G317" s="2"/>
      <c r="H317" s="2"/>
      <c r="I317" s="2"/>
      <c r="J317" s="2"/>
      <c r="K317" s="2"/>
      <c r="L317" s="22"/>
    </row>
    <row r="318" spans="4:12">
      <c r="D318" s="2"/>
      <c r="E318" s="396"/>
      <c r="F318" s="2"/>
      <c r="G318" s="2"/>
      <c r="H318" s="2"/>
      <c r="I318" s="2"/>
      <c r="J318" s="2"/>
      <c r="K318" s="2"/>
      <c r="L318" s="22"/>
    </row>
    <row r="319" spans="4:12">
      <c r="D319" s="2"/>
      <c r="E319" s="396"/>
      <c r="F319" s="2"/>
      <c r="G319" s="2"/>
      <c r="H319" s="2"/>
      <c r="I319" s="2"/>
      <c r="J319" s="2"/>
      <c r="K319" s="2"/>
      <c r="L319" s="22"/>
    </row>
    <row r="320" spans="4:12">
      <c r="D320" s="2"/>
      <c r="E320" s="396"/>
      <c r="F320" s="2"/>
      <c r="G320" s="2"/>
      <c r="H320" s="2"/>
      <c r="I320" s="2"/>
      <c r="J320" s="2"/>
      <c r="K320" s="2"/>
      <c r="L320" s="22"/>
    </row>
    <row r="321" spans="4:12">
      <c r="D321" s="2"/>
      <c r="E321" s="396"/>
      <c r="F321" s="2"/>
      <c r="G321" s="2"/>
      <c r="H321" s="2"/>
      <c r="I321" s="2"/>
      <c r="J321" s="2"/>
      <c r="K321" s="2"/>
      <c r="L321" s="22"/>
    </row>
    <row r="322" spans="4:12">
      <c r="D322" s="2"/>
      <c r="E322" s="396"/>
      <c r="F322" s="2"/>
      <c r="G322" s="2"/>
      <c r="H322" s="2"/>
      <c r="I322" s="2"/>
      <c r="J322" s="2"/>
      <c r="K322" s="2"/>
      <c r="L322" s="22"/>
    </row>
    <row r="323" spans="4:12">
      <c r="D323" s="2"/>
      <c r="E323" s="396"/>
      <c r="F323" s="2"/>
      <c r="G323" s="2"/>
      <c r="H323" s="2"/>
      <c r="I323" s="2"/>
      <c r="J323" s="2"/>
      <c r="K323" s="2"/>
      <c r="L323" s="22"/>
    </row>
    <row r="324" spans="4:12">
      <c r="D324" s="2"/>
      <c r="E324" s="396"/>
      <c r="F324" s="2"/>
      <c r="G324" s="2"/>
      <c r="H324" s="2"/>
      <c r="I324" s="2"/>
      <c r="J324" s="2"/>
      <c r="K324" s="2"/>
      <c r="L324" s="22"/>
    </row>
    <row r="325" spans="4:12">
      <c r="D325" s="2"/>
      <c r="E325" s="396"/>
      <c r="F325" s="2"/>
      <c r="G325" s="2"/>
      <c r="H325" s="2"/>
      <c r="I325" s="2"/>
      <c r="J325" s="2"/>
      <c r="K325" s="2"/>
      <c r="L325" s="22"/>
    </row>
    <row r="326" spans="4:12">
      <c r="D326" s="2"/>
      <c r="E326" s="396"/>
      <c r="F326" s="2"/>
      <c r="G326" s="2"/>
      <c r="H326" s="2"/>
      <c r="I326" s="2"/>
      <c r="J326" s="2"/>
      <c r="K326" s="2"/>
      <c r="L326" s="22"/>
    </row>
    <row r="327" spans="4:12">
      <c r="D327" s="2"/>
      <c r="E327" s="396"/>
      <c r="F327" s="2"/>
      <c r="G327" s="2"/>
      <c r="H327" s="2"/>
      <c r="I327" s="2"/>
      <c r="J327" s="2"/>
      <c r="K327" s="2"/>
      <c r="L327" s="22"/>
    </row>
    <row r="328" spans="4:12">
      <c r="D328" s="2"/>
      <c r="E328" s="396"/>
      <c r="F328" s="2"/>
      <c r="G328" s="2"/>
      <c r="H328" s="2"/>
      <c r="I328" s="2"/>
      <c r="J328" s="2"/>
      <c r="K328" s="2"/>
      <c r="L328" s="22"/>
    </row>
    <row r="329" spans="4:12">
      <c r="D329" s="2"/>
      <c r="E329" s="396"/>
      <c r="F329" s="2"/>
      <c r="G329" s="2"/>
      <c r="H329" s="2"/>
      <c r="I329" s="2"/>
      <c r="J329" s="2"/>
      <c r="K329" s="2"/>
      <c r="L329" s="22"/>
    </row>
    <row r="330" spans="4:12">
      <c r="D330" s="2"/>
      <c r="E330" s="396"/>
      <c r="F330" s="2"/>
      <c r="G330" s="2"/>
      <c r="H330" s="2"/>
      <c r="I330" s="2"/>
      <c r="J330" s="2"/>
      <c r="K330" s="2"/>
      <c r="L330" s="22"/>
    </row>
    <row r="331" spans="4:12">
      <c r="D331" s="2"/>
      <c r="E331" s="396"/>
      <c r="F331" s="2"/>
      <c r="G331" s="2"/>
      <c r="H331" s="2"/>
      <c r="I331" s="2"/>
      <c r="J331" s="2"/>
      <c r="K331" s="2"/>
      <c r="L331" s="22"/>
    </row>
    <row r="332" spans="4:12">
      <c r="D332" s="2"/>
      <c r="E332" s="396"/>
      <c r="F332" s="2"/>
      <c r="G332" s="2"/>
      <c r="H332" s="2"/>
      <c r="I332" s="2"/>
      <c r="J332" s="2"/>
      <c r="K332" s="2"/>
      <c r="L332" s="22"/>
    </row>
    <row r="333" spans="4:12">
      <c r="D333" s="2"/>
      <c r="E333" s="396"/>
      <c r="F333" s="2"/>
      <c r="G333" s="2"/>
      <c r="H333" s="2"/>
      <c r="I333" s="2"/>
      <c r="J333" s="2"/>
      <c r="K333" s="2"/>
      <c r="L333" s="22"/>
    </row>
    <row r="334" spans="4:12">
      <c r="D334" s="2"/>
      <c r="E334" s="396"/>
      <c r="F334" s="2"/>
      <c r="G334" s="2"/>
      <c r="H334" s="2"/>
      <c r="I334" s="2"/>
      <c r="J334" s="2"/>
      <c r="K334" s="2"/>
      <c r="L334" s="22"/>
    </row>
    <row r="335" spans="4:12">
      <c r="D335" s="2"/>
      <c r="E335" s="396"/>
      <c r="F335" s="2"/>
      <c r="G335" s="2"/>
      <c r="H335" s="2"/>
      <c r="I335" s="2"/>
      <c r="J335" s="2"/>
      <c r="K335" s="2"/>
      <c r="L335" s="22"/>
    </row>
    <row r="336" spans="4:12">
      <c r="D336" s="2"/>
      <c r="E336" s="396"/>
      <c r="F336" s="2"/>
      <c r="G336" s="2"/>
      <c r="H336" s="2"/>
      <c r="I336" s="2"/>
      <c r="J336" s="2"/>
      <c r="K336" s="2"/>
      <c r="L336" s="22"/>
    </row>
    <row r="337" spans="4:12">
      <c r="D337" s="2"/>
      <c r="E337" s="396"/>
      <c r="F337" s="2"/>
      <c r="G337" s="2"/>
      <c r="H337" s="2"/>
      <c r="I337" s="2"/>
      <c r="J337" s="2"/>
      <c r="K337" s="2"/>
      <c r="L337" s="22"/>
    </row>
    <row r="338" spans="4:12">
      <c r="D338" s="2"/>
      <c r="E338" s="396"/>
      <c r="F338" s="2"/>
      <c r="G338" s="2"/>
      <c r="H338" s="2"/>
      <c r="I338" s="2"/>
      <c r="J338" s="2"/>
      <c r="K338" s="2"/>
      <c r="L338" s="22"/>
    </row>
    <row r="339" spans="4:12">
      <c r="D339" s="2"/>
      <c r="E339" s="396"/>
      <c r="F339" s="2"/>
      <c r="G339" s="2"/>
      <c r="H339" s="2"/>
      <c r="I339" s="2"/>
      <c r="J339" s="2"/>
      <c r="K339" s="2"/>
      <c r="L339" s="22"/>
    </row>
    <row r="340" spans="4:12">
      <c r="D340" s="2"/>
      <c r="E340" s="396"/>
      <c r="F340" s="2"/>
      <c r="G340" s="2"/>
      <c r="H340" s="2"/>
      <c r="I340" s="2"/>
      <c r="J340" s="2"/>
      <c r="K340" s="2"/>
      <c r="L340" s="22"/>
    </row>
    <row r="341" spans="4:12">
      <c r="D341" s="2"/>
      <c r="E341" s="396"/>
      <c r="F341" s="2"/>
      <c r="G341" s="2"/>
      <c r="H341" s="2"/>
      <c r="I341" s="2"/>
      <c r="J341" s="2"/>
      <c r="K341" s="2"/>
      <c r="L341" s="22"/>
    </row>
    <row r="342" spans="4:12">
      <c r="D342" s="2"/>
      <c r="E342" s="396"/>
      <c r="F342" s="2"/>
      <c r="G342" s="2"/>
      <c r="H342" s="2"/>
      <c r="I342" s="2"/>
      <c r="J342" s="2"/>
      <c r="K342" s="2"/>
      <c r="L342" s="22"/>
    </row>
    <row r="343" spans="4:12">
      <c r="D343" s="2"/>
      <c r="E343" s="396"/>
      <c r="F343" s="2"/>
      <c r="G343" s="2"/>
      <c r="H343" s="2"/>
      <c r="I343" s="2"/>
      <c r="J343" s="2"/>
      <c r="K343" s="2"/>
      <c r="L343" s="22"/>
    </row>
    <row r="344" spans="4:12">
      <c r="D344" s="2"/>
      <c r="E344" s="396"/>
      <c r="F344" s="2"/>
      <c r="G344" s="2"/>
      <c r="H344" s="2"/>
      <c r="I344" s="2"/>
      <c r="J344" s="2"/>
      <c r="K344" s="2"/>
      <c r="L344" s="22"/>
    </row>
    <row r="345" spans="4:12">
      <c r="D345" s="2"/>
      <c r="E345" s="396"/>
      <c r="F345" s="2"/>
      <c r="G345" s="2"/>
      <c r="H345" s="2"/>
      <c r="I345" s="2"/>
      <c r="J345" s="2"/>
      <c r="K345" s="2"/>
      <c r="L345" s="22"/>
    </row>
    <row r="346" spans="4:12">
      <c r="D346" s="2"/>
      <c r="E346" s="396"/>
      <c r="F346" s="2"/>
      <c r="G346" s="2"/>
      <c r="H346" s="2"/>
      <c r="I346" s="2"/>
      <c r="J346" s="2"/>
      <c r="K346" s="2"/>
      <c r="L346" s="22"/>
    </row>
    <row r="347" spans="4:12">
      <c r="D347" s="2"/>
      <c r="E347" s="396"/>
      <c r="F347" s="2"/>
      <c r="G347" s="2"/>
      <c r="H347" s="2"/>
      <c r="I347" s="2"/>
      <c r="J347" s="2"/>
      <c r="K347" s="2"/>
      <c r="L347" s="22"/>
    </row>
    <row r="348" spans="4:12">
      <c r="D348" s="2"/>
      <c r="E348" s="396"/>
      <c r="F348" s="2"/>
      <c r="G348" s="2"/>
      <c r="H348" s="2"/>
      <c r="I348" s="2"/>
      <c r="J348" s="2"/>
      <c r="K348" s="2"/>
      <c r="L348" s="22"/>
    </row>
    <row r="349" spans="4:12">
      <c r="D349" s="2"/>
      <c r="E349" s="396"/>
      <c r="F349" s="2"/>
      <c r="G349" s="2"/>
      <c r="H349" s="2"/>
      <c r="I349" s="2"/>
      <c r="J349" s="2"/>
      <c r="K349" s="2"/>
      <c r="L349" s="22"/>
    </row>
    <row r="350" spans="4:12">
      <c r="D350" s="2"/>
      <c r="E350" s="396"/>
      <c r="F350" s="2"/>
      <c r="G350" s="2"/>
      <c r="H350" s="2"/>
      <c r="I350" s="2"/>
      <c r="J350" s="2"/>
      <c r="K350" s="2"/>
      <c r="L350" s="22"/>
    </row>
    <row r="351" spans="4:12">
      <c r="D351" s="2"/>
      <c r="E351" s="396"/>
      <c r="F351" s="2"/>
      <c r="G351" s="2"/>
      <c r="H351" s="2"/>
      <c r="I351" s="2"/>
      <c r="J351" s="2"/>
      <c r="K351" s="2"/>
      <c r="L351" s="22"/>
    </row>
    <row r="352" spans="4:12">
      <c r="D352" s="2"/>
      <c r="E352" s="396"/>
      <c r="F352" s="2"/>
      <c r="G352" s="2"/>
      <c r="H352" s="2"/>
      <c r="I352" s="2"/>
      <c r="J352" s="2"/>
      <c r="K352" s="2"/>
      <c r="L352" s="22"/>
    </row>
    <row r="353" spans="4:12">
      <c r="D353" s="2"/>
      <c r="E353" s="396"/>
      <c r="F353" s="2"/>
      <c r="G353" s="2"/>
      <c r="H353" s="2"/>
      <c r="I353" s="2"/>
      <c r="J353" s="2"/>
      <c r="K353" s="2"/>
      <c r="L353" s="22"/>
    </row>
    <row r="354" spans="4:12">
      <c r="D354" s="2"/>
      <c r="E354" s="396"/>
      <c r="F354" s="2"/>
      <c r="G354" s="2"/>
      <c r="H354" s="2"/>
      <c r="I354" s="2"/>
      <c r="J354" s="2"/>
      <c r="K354" s="2"/>
      <c r="L354" s="22"/>
    </row>
    <row r="355" spans="4:12">
      <c r="D355" s="2"/>
      <c r="E355" s="396"/>
      <c r="F355" s="2"/>
      <c r="G355" s="2"/>
      <c r="H355" s="2"/>
      <c r="I355" s="2"/>
      <c r="J355" s="2"/>
      <c r="K355" s="2"/>
      <c r="L355" s="22"/>
    </row>
    <row r="356" spans="4:12">
      <c r="D356" s="2"/>
      <c r="E356" s="396"/>
      <c r="F356" s="2"/>
      <c r="G356" s="2"/>
      <c r="H356" s="2"/>
      <c r="I356" s="2"/>
      <c r="J356" s="2"/>
      <c r="K356" s="2"/>
      <c r="L356" s="22"/>
    </row>
    <row r="357" spans="4:12">
      <c r="D357" s="2"/>
      <c r="E357" s="396"/>
      <c r="F357" s="2"/>
      <c r="G357" s="2"/>
      <c r="H357" s="2"/>
      <c r="I357" s="2"/>
      <c r="J357" s="2"/>
      <c r="K357" s="2"/>
      <c r="L357" s="22"/>
    </row>
    <row r="358" spans="4:12">
      <c r="D358" s="2"/>
      <c r="E358" s="396"/>
      <c r="F358" s="2"/>
      <c r="G358" s="2"/>
      <c r="H358" s="2"/>
      <c r="I358" s="2"/>
      <c r="J358" s="2"/>
      <c r="K358" s="2"/>
      <c r="L358" s="22"/>
    </row>
    <row r="359" spans="4:12">
      <c r="D359" s="2"/>
      <c r="E359" s="396"/>
      <c r="F359" s="2"/>
      <c r="G359" s="2"/>
      <c r="H359" s="2"/>
      <c r="I359" s="2"/>
      <c r="J359" s="2"/>
      <c r="K359" s="2"/>
      <c r="L359" s="22"/>
    </row>
    <row r="360" spans="4:12">
      <c r="D360" s="2"/>
      <c r="E360" s="396"/>
      <c r="F360" s="2"/>
      <c r="G360" s="2"/>
      <c r="H360" s="2"/>
      <c r="I360" s="2"/>
      <c r="J360" s="2"/>
      <c r="K360" s="2"/>
      <c r="L360" s="22"/>
    </row>
    <row r="361" spans="4:12">
      <c r="D361" s="2"/>
      <c r="E361" s="396"/>
      <c r="F361" s="2"/>
      <c r="G361" s="2"/>
      <c r="H361" s="2"/>
      <c r="I361" s="2"/>
      <c r="J361" s="2"/>
      <c r="K361" s="2"/>
      <c r="L361" s="22"/>
    </row>
    <row r="362" spans="4:12">
      <c r="D362" s="2"/>
      <c r="E362" s="396"/>
      <c r="F362" s="2"/>
      <c r="G362" s="2"/>
      <c r="H362" s="2"/>
      <c r="I362" s="2"/>
      <c r="J362" s="2"/>
      <c r="K362" s="2"/>
      <c r="L362" s="22"/>
    </row>
    <row r="363" spans="4:12">
      <c r="D363" s="2"/>
      <c r="E363" s="396"/>
      <c r="F363" s="2"/>
      <c r="G363" s="2"/>
      <c r="H363" s="2"/>
      <c r="I363" s="2"/>
      <c r="J363" s="2"/>
      <c r="K363" s="2"/>
      <c r="L363" s="22"/>
    </row>
    <row r="364" spans="4:12">
      <c r="D364" s="2"/>
      <c r="E364" s="396"/>
      <c r="F364" s="2"/>
      <c r="G364" s="2"/>
      <c r="H364" s="2"/>
      <c r="I364" s="2"/>
      <c r="J364" s="2"/>
      <c r="K364" s="2"/>
      <c r="L364" s="22"/>
    </row>
    <row r="365" spans="4:12">
      <c r="D365" s="2"/>
      <c r="E365" s="396"/>
      <c r="F365" s="2"/>
      <c r="G365" s="2"/>
      <c r="H365" s="2"/>
      <c r="I365" s="2"/>
      <c r="J365" s="2"/>
      <c r="K365" s="2"/>
      <c r="L365" s="22"/>
    </row>
    <row r="366" spans="4:12">
      <c r="D366" s="2"/>
      <c r="E366" s="396"/>
      <c r="F366" s="2"/>
      <c r="G366" s="2"/>
      <c r="H366" s="2"/>
      <c r="I366" s="2"/>
      <c r="J366" s="2"/>
      <c r="K366" s="2"/>
      <c r="L366" s="22"/>
    </row>
    <row r="367" spans="4:12">
      <c r="D367" s="2"/>
      <c r="E367" s="396"/>
      <c r="F367" s="2"/>
      <c r="G367" s="2"/>
      <c r="H367" s="2"/>
      <c r="I367" s="2"/>
      <c r="J367" s="2"/>
      <c r="K367" s="2"/>
      <c r="L367" s="22"/>
    </row>
    <row r="368" spans="4:12">
      <c r="D368" s="2"/>
      <c r="E368" s="396"/>
      <c r="F368" s="2"/>
      <c r="G368" s="2"/>
      <c r="H368" s="2"/>
      <c r="I368" s="2"/>
      <c r="J368" s="2"/>
      <c r="K368" s="2"/>
      <c r="L368" s="22"/>
    </row>
    <row r="369" spans="4:12">
      <c r="D369" s="2"/>
      <c r="E369" s="396"/>
      <c r="F369" s="2"/>
      <c r="G369" s="2"/>
      <c r="H369" s="2"/>
      <c r="I369" s="2"/>
      <c r="J369" s="2"/>
      <c r="K369" s="2"/>
      <c r="L369" s="22"/>
    </row>
    <row r="370" spans="4:12">
      <c r="D370" s="2"/>
      <c r="E370" s="396"/>
      <c r="F370" s="2"/>
      <c r="G370" s="2"/>
      <c r="H370" s="2"/>
      <c r="I370" s="2"/>
      <c r="J370" s="2"/>
      <c r="K370" s="2"/>
      <c r="L370" s="22"/>
    </row>
    <row r="371" spans="4:12">
      <c r="D371" s="2"/>
      <c r="E371" s="396"/>
      <c r="F371" s="2"/>
      <c r="G371" s="2"/>
      <c r="H371" s="2"/>
      <c r="I371" s="2"/>
      <c r="J371" s="2"/>
      <c r="K371" s="2"/>
      <c r="L371" s="22"/>
    </row>
    <row r="372" spans="4:12">
      <c r="D372" s="2"/>
      <c r="E372" s="396"/>
      <c r="F372" s="2"/>
      <c r="G372" s="2"/>
      <c r="H372" s="2"/>
      <c r="I372" s="2"/>
      <c r="J372" s="2"/>
      <c r="K372" s="2"/>
      <c r="L372" s="22"/>
    </row>
    <row r="373" spans="4:12">
      <c r="D373" s="2"/>
      <c r="E373" s="396"/>
      <c r="F373" s="2"/>
      <c r="G373" s="2"/>
      <c r="H373" s="2"/>
      <c r="I373" s="2"/>
      <c r="J373" s="2"/>
      <c r="K373" s="2"/>
      <c r="L373" s="22"/>
    </row>
  </sheetData>
  <protectedRanges>
    <protectedRange sqref="H204:H212 H214:H221" name="Datos Generales_1_1_2"/>
    <protectedRange sqref="H213" name="Datos Generales_1_1_2_2"/>
  </protectedRanges>
  <pageMargins left="0.7" right="0.7" top="0.75" bottom="0.75" header="0.3" footer="0.3"/>
  <pageSetup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1"/>
  </sheetPr>
  <dimension ref="A1:AD775"/>
  <sheetViews>
    <sheetView tabSelected="1" zoomScale="75" zoomScaleNormal="75" workbookViewId="0">
      <pane ySplit="5" topLeftCell="A12" activePane="bottomLeft" state="frozen"/>
      <selection pane="bottomLeft" activeCell="E14" sqref="E14"/>
    </sheetView>
  </sheetViews>
  <sheetFormatPr baseColWidth="10" defaultColWidth="101.42578125" defaultRowHeight="15"/>
  <cols>
    <col min="1" max="1" width="17.28515625" style="155" customWidth="1"/>
    <col min="2" max="2" width="7" style="155" customWidth="1"/>
    <col min="3" max="3" width="22.85546875" style="19" customWidth="1"/>
    <col min="4" max="4" width="18.28515625" style="114" customWidth="1"/>
    <col min="5" max="5" width="24.85546875" style="114" customWidth="1"/>
    <col min="6" max="6" width="13.42578125" style="114" customWidth="1"/>
    <col min="7" max="7" width="18.85546875" style="114" customWidth="1"/>
    <col min="8" max="8" width="20.42578125" style="114" customWidth="1"/>
    <col min="9" max="9" width="17.42578125" style="114" customWidth="1"/>
    <col min="10" max="10" width="13" style="114" customWidth="1"/>
    <col min="11" max="11" width="48.42578125" style="219" customWidth="1"/>
    <col min="12" max="12" width="32.42578125" style="219" customWidth="1"/>
    <col min="13" max="13" width="41.85546875" style="219" customWidth="1"/>
    <col min="14" max="14" width="13" style="219" customWidth="1"/>
    <col min="15" max="15" width="11.85546875" style="219" customWidth="1"/>
    <col min="16" max="16" width="10" style="219" customWidth="1"/>
    <col min="17" max="17" width="15.85546875" style="219" customWidth="1"/>
    <col min="18" max="18" width="5" style="219" customWidth="1"/>
    <col min="19" max="19" width="13" style="219" customWidth="1"/>
    <col min="20" max="20" width="2.42578125" style="219" customWidth="1"/>
    <col min="21" max="21" width="13.42578125" style="219" customWidth="1"/>
    <col min="22" max="22" width="8" style="219" customWidth="1"/>
    <col min="23" max="23" width="17.85546875" style="219" customWidth="1"/>
    <col min="24" max="24" width="16.7109375" style="219" customWidth="1"/>
    <col min="25" max="25" width="20.42578125" customWidth="1"/>
    <col min="26" max="26" width="12.7109375" style="219" customWidth="1"/>
    <col min="27" max="27" width="14.140625" style="219" customWidth="1"/>
    <col min="28" max="28" width="13.85546875" style="219" customWidth="1"/>
    <col min="29" max="29" width="16.28515625" style="219" customWidth="1"/>
    <col min="30" max="30" width="15.42578125" style="219" customWidth="1"/>
    <col min="31" max="31" width="13.7109375" style="219" customWidth="1"/>
    <col min="32" max="16384" width="101.42578125" style="219"/>
  </cols>
  <sheetData>
    <row r="1" spans="1:29" customFormat="1" ht="7.5" customHeight="1" thickBot="1">
      <c r="A1" s="3"/>
    </row>
    <row r="2" spans="1:29" s="220" customFormat="1" ht="15.75">
      <c r="A2" s="155"/>
      <c r="D2" s="274" t="s">
        <v>145</v>
      </c>
      <c r="E2" s="275" t="s">
        <v>146</v>
      </c>
      <c r="F2" s="275" t="s">
        <v>147</v>
      </c>
      <c r="G2" s="275" t="s">
        <v>148</v>
      </c>
      <c r="H2" s="276" t="s">
        <v>50</v>
      </c>
    </row>
    <row r="3" spans="1:29" s="220" customFormat="1" ht="15.75">
      <c r="A3" s="155"/>
      <c r="D3" s="277" t="s">
        <v>152</v>
      </c>
      <c r="E3" s="278"/>
      <c r="F3" s="279" t="s">
        <v>143</v>
      </c>
      <c r="G3" s="280" t="s">
        <v>153</v>
      </c>
      <c r="H3" s="281"/>
    </row>
    <row r="4" spans="1:29" s="220" customFormat="1" ht="15.75">
      <c r="A4" s="155"/>
      <c r="D4" s="282">
        <f>F8</f>
        <v>1</v>
      </c>
      <c r="E4" s="279" t="s">
        <v>154</v>
      </c>
      <c r="F4" s="283">
        <v>260</v>
      </c>
      <c r="G4" s="279">
        <v>5.5</v>
      </c>
      <c r="H4" s="284">
        <f>F8*F4*G4</f>
        <v>1430</v>
      </c>
      <c r="M4" s="221"/>
      <c r="N4" s="221"/>
      <c r="O4" s="221"/>
      <c r="P4" s="221"/>
      <c r="Q4" s="221"/>
      <c r="R4" s="221"/>
      <c r="S4" s="221"/>
      <c r="T4" s="221"/>
      <c r="U4" s="221"/>
      <c r="V4" s="221"/>
      <c r="W4" s="221"/>
    </row>
    <row r="5" spans="1:29" s="220" customFormat="1" ht="69.95" customHeight="1" thickBot="1">
      <c r="A5" s="155"/>
      <c r="D5" s="285">
        <v>0.15</v>
      </c>
      <c r="E5" s="286">
        <f>H4*D5</f>
        <v>214.5</v>
      </c>
      <c r="F5" s="287"/>
      <c r="G5" s="288" t="s">
        <v>144</v>
      </c>
      <c r="H5" s="289">
        <f>H4-E5</f>
        <v>1215.5</v>
      </c>
      <c r="M5" s="221"/>
      <c r="N5" s="221"/>
      <c r="O5" s="221"/>
      <c r="P5" s="221"/>
      <c r="Q5" s="221"/>
      <c r="R5" s="221"/>
      <c r="S5" s="221"/>
      <c r="T5" s="221"/>
      <c r="U5" s="221"/>
      <c r="V5" s="221"/>
      <c r="W5" s="221"/>
    </row>
    <row r="6" spans="1:29" ht="25.5" customHeight="1">
      <c r="B6"/>
      <c r="D6" s="157" t="s">
        <v>145</v>
      </c>
      <c r="E6" s="157" t="s">
        <v>146</v>
      </c>
      <c r="F6" s="157" t="s">
        <v>147</v>
      </c>
      <c r="G6" s="158" t="s">
        <v>148</v>
      </c>
      <c r="H6" s="159" t="s">
        <v>50</v>
      </c>
      <c r="I6" s="210" t="s">
        <v>536</v>
      </c>
      <c r="J6" s="210" t="s">
        <v>540</v>
      </c>
      <c r="K6" s="384" t="s">
        <v>704</v>
      </c>
      <c r="M6" s="221"/>
      <c r="N6" s="221"/>
      <c r="O6" s="221"/>
      <c r="P6" s="221"/>
      <c r="Q6" s="221"/>
      <c r="R6" s="221"/>
      <c r="S6" s="221"/>
      <c r="T6" s="221"/>
      <c r="U6" s="221"/>
      <c r="V6" s="221"/>
      <c r="W6" s="221"/>
      <c r="Y6" s="219"/>
    </row>
    <row r="7" spans="1:29" s="221" customFormat="1" ht="3" customHeight="1">
      <c r="A7" s="3"/>
      <c r="B7"/>
      <c r="C7"/>
      <c r="D7" t="s">
        <v>505</v>
      </c>
      <c r="E7" t="s">
        <v>505</v>
      </c>
      <c r="F7">
        <v>0</v>
      </c>
      <c r="G7">
        <v>0</v>
      </c>
      <c r="H7">
        <v>0</v>
      </c>
      <c r="I7" s="11">
        <f>IF(F7&gt;0,#REF!,0)</f>
        <v>0</v>
      </c>
      <c r="J7" s="211">
        <f>Tabla3[[#This Row],[Costos]]*F7</f>
        <v>0</v>
      </c>
      <c r="K7" s="211"/>
      <c r="O7" s="237"/>
      <c r="P7" s="238"/>
    </row>
    <row r="8" spans="1:29" s="222" customFormat="1" ht="63.75" customHeight="1">
      <c r="A8" s="350" t="s">
        <v>616</v>
      </c>
      <c r="B8" s="351"/>
      <c r="C8" s="352" t="s">
        <v>492</v>
      </c>
      <c r="D8" s="353" t="s">
        <v>668</v>
      </c>
      <c r="E8" s="354" t="str">
        <f>VLOOKUP(D8,'Catalogo-Datos'!F3:L13,2,FALSE)</f>
        <v>Módulo multicristalino 150W. Garantía de potencia lineal de 85% a 12 años.Nacionales</v>
      </c>
      <c r="F8" s="355">
        <v>1</v>
      </c>
      <c r="G8" s="356">
        <f t="shared" ref="G8" si="0">IF(F8&gt;0,AA8,0)</f>
        <v>4365</v>
      </c>
      <c r="H8" s="356">
        <f>G8*F8</f>
        <v>4365</v>
      </c>
      <c r="I8" s="240">
        <f t="shared" ref="I8:I26" si="1">IF(F8&gt;0,AB8,0)</f>
        <v>97</v>
      </c>
      <c r="J8" s="241">
        <f>Tabla3[[#This Row],[Costos]]*F8</f>
        <v>97</v>
      </c>
      <c r="K8" s="211"/>
      <c r="W8" s="257" t="str">
        <f>IF(F8&gt;0,D8,"0")</f>
        <v>Mod-S-E-150</v>
      </c>
      <c r="X8" s="258" t="s">
        <v>668</v>
      </c>
      <c r="Y8" s="262" t="s">
        <v>668</v>
      </c>
      <c r="Z8" s="174"/>
      <c r="AA8" s="261">
        <f>VLOOKUP(D8,'Catalogo-Datos'!F3:L13,4,FALSE)</f>
        <v>4365</v>
      </c>
      <c r="AB8" s="261">
        <f>VLOOKUP(D8,'Catalogo-Datos'!F3:M13,7,FALSE)</f>
        <v>97</v>
      </c>
      <c r="AC8" s="260"/>
    </row>
    <row r="9" spans="1:29" s="222" customFormat="1" ht="66" customHeight="1">
      <c r="A9" s="350" t="s">
        <v>617</v>
      </c>
      <c r="B9" s="357"/>
      <c r="C9" s="358" t="s">
        <v>504</v>
      </c>
      <c r="D9" s="353" t="s">
        <v>535</v>
      </c>
      <c r="E9" s="354" t="str">
        <f>VLOOKUP(D9,'Catalogo-Datos'!F15:G79,2,FALSE)</f>
        <v>Control de carga   SY 100-12/24, PWM de , , microprocesador, indicadores luminosos a LED, botón de encendido, programación de tipo de baterías: abierta, gel</v>
      </c>
      <c r="F9" s="355">
        <v>1</v>
      </c>
      <c r="G9" s="356">
        <f t="shared" ref="G9:G30" si="2">IF(F9&gt;0,AA9,0)</f>
        <v>997.5</v>
      </c>
      <c r="H9" s="356">
        <f t="shared" ref="H9:H30" si="3">G9*F9</f>
        <v>997.5</v>
      </c>
      <c r="I9" s="240">
        <f t="shared" si="1"/>
        <v>19</v>
      </c>
      <c r="J9" s="241">
        <f>Tabla3[[#This Row],[Costos]]*F9</f>
        <v>19</v>
      </c>
      <c r="K9" s="211"/>
      <c r="W9" s="257" t="str">
        <f t="shared" ref="W9:W30" si="4">IF(F9&gt;0,D9,"0")</f>
        <v>SY-1012-24</v>
      </c>
      <c r="X9" s="262" t="s">
        <v>483</v>
      </c>
      <c r="Y9" s="262" t="s">
        <v>483</v>
      </c>
      <c r="Z9" s="174"/>
      <c r="AA9" s="261">
        <f>VLOOKUP(D9,'Catalogo-Datos'!F15:L39,4,FALSE)</f>
        <v>997.5</v>
      </c>
      <c r="AB9" s="261">
        <f>VLOOKUP(D9,'Catalogo-Datos'!F15:M39,7,FALSE)</f>
        <v>19</v>
      </c>
      <c r="AC9" s="260"/>
    </row>
    <row r="10" spans="1:29" s="222" customFormat="1" ht="49.5" customHeight="1">
      <c r="A10" s="116" t="s">
        <v>618</v>
      </c>
      <c r="B10" s="292"/>
      <c r="C10" s="215" t="s">
        <v>529</v>
      </c>
      <c r="D10" s="267" t="s">
        <v>179</v>
      </c>
      <c r="E10" s="218" t="str">
        <f>VLOOKUP(D10,'Catalogo-Datos'!F15:G79,2,FALSE)</f>
        <v xml:space="preserve">Control de carga   FX80, 150V-12/24/48 V, seguidor de máxima potencia, 80A. Centro de comunicación Hub10 y Mate </v>
      </c>
      <c r="F10" s="290">
        <v>0</v>
      </c>
      <c r="G10" s="223">
        <f t="shared" si="2"/>
        <v>0</v>
      </c>
      <c r="H10" s="223">
        <f t="shared" si="3"/>
        <v>0</v>
      </c>
      <c r="I10" s="240">
        <f t="shared" si="1"/>
        <v>0</v>
      </c>
      <c r="J10" s="240">
        <f>Tabla3[[#This Row],[Costos]]*F10</f>
        <v>0</v>
      </c>
      <c r="K10" s="211"/>
      <c r="W10" s="257" t="str">
        <f t="shared" si="4"/>
        <v>0</v>
      </c>
      <c r="X10" s="262" t="s">
        <v>640</v>
      </c>
      <c r="Y10" s="262" t="s">
        <v>606</v>
      </c>
      <c r="Z10" s="174"/>
      <c r="AA10" s="261">
        <f>VLOOKUP(D10,'Catalogo-Datos'!F15:L39,4,FALSE)</f>
        <v>19901.7</v>
      </c>
      <c r="AB10" s="261">
        <f>VLOOKUP(D10,'Catalogo-Datos'!F15:M39,7,FALSE)</f>
        <v>702</v>
      </c>
      <c r="AC10" s="260"/>
    </row>
    <row r="11" spans="1:29" s="222" customFormat="1" ht="72" customHeight="1">
      <c r="A11" s="350" t="s">
        <v>619</v>
      </c>
      <c r="B11" s="350"/>
      <c r="C11" s="352" t="s">
        <v>493</v>
      </c>
      <c r="D11" s="353" t="s">
        <v>606</v>
      </c>
      <c r="E11" s="360" t="str">
        <f>VLOOKUP(D11,'Catalogo-Datos'!F41:L50,2,FALSE)</f>
        <v xml:space="preserve">Batería  Para Uso Fotovoltaico 12 V, 115 Ah @ 100 hr, libre de mantenimiento. Vida útil: 3 a 4 años. </v>
      </c>
      <c r="F11" s="355">
        <v>1</v>
      </c>
      <c r="G11" s="356">
        <f t="shared" si="2"/>
        <v>2640</v>
      </c>
      <c r="H11" s="356">
        <f t="shared" si="3"/>
        <v>2640</v>
      </c>
      <c r="I11" s="240">
        <f t="shared" si="1"/>
        <v>110</v>
      </c>
      <c r="J11" s="241">
        <f>Tabla3[[#This Row],[Costos]]*F11</f>
        <v>110</v>
      </c>
      <c r="K11" s="211"/>
      <c r="W11" s="257" t="str">
        <f t="shared" si="4"/>
        <v>CALE-115-1</v>
      </c>
      <c r="X11" s="262" t="s">
        <v>606</v>
      </c>
      <c r="Y11" s="259" t="s">
        <v>479</v>
      </c>
      <c r="Z11" s="174"/>
      <c r="AA11" s="261">
        <f>VLOOKUP(D11,'Catalogo-Datos'!F41:L50,4,FALSE)</f>
        <v>2640</v>
      </c>
      <c r="AB11" s="261">
        <f>VLOOKUP(D11,'Catalogo-Datos'!F41:M50,7,FALSE)</f>
        <v>110</v>
      </c>
      <c r="AC11" s="260"/>
    </row>
    <row r="12" spans="1:29" s="222" customFormat="1" ht="75.75" customHeight="1">
      <c r="A12" s="350" t="s">
        <v>620</v>
      </c>
      <c r="B12" s="350"/>
      <c r="C12" s="352" t="s">
        <v>494</v>
      </c>
      <c r="D12" s="353" t="s">
        <v>654</v>
      </c>
      <c r="E12" s="359" t="str">
        <f>VLOOKUP(D12,'Catalogo-Datos'!F52:L79,2,FALSE)</f>
        <v xml:space="preserve">Inversor DE 1000  V  para alimentar TV Iluminacion Celulares-Gravadora licuadora  y electrodomesticos de bajo consumo </v>
      </c>
      <c r="F12" s="355">
        <v>1</v>
      </c>
      <c r="G12" s="356">
        <f t="shared" si="2"/>
        <v>5970</v>
      </c>
      <c r="H12" s="356">
        <f t="shared" si="3"/>
        <v>5970</v>
      </c>
      <c r="I12" s="240">
        <f t="shared" si="1"/>
        <v>150</v>
      </c>
      <c r="J12" s="241">
        <f>Tabla3[[#This Row],[Costos]]*F12</f>
        <v>150</v>
      </c>
      <c r="K12" s="211"/>
      <c r="W12" s="257" t="str">
        <f t="shared" si="4"/>
        <v>USA-1000-12</v>
      </c>
      <c r="X12" s="259" t="s">
        <v>479</v>
      </c>
      <c r="Y12" s="259" t="s">
        <v>317</v>
      </c>
      <c r="Z12" s="174"/>
      <c r="AA12" s="261">
        <f>VLOOKUP(D12,'Catalogo-Datos'!F52:L79,4,FALSE)</f>
        <v>5970</v>
      </c>
      <c r="AB12" s="261">
        <f>VLOOKUP(D12,'Catalogo-Datos'!F52:M79,7,FALSE)</f>
        <v>150</v>
      </c>
      <c r="AC12" s="260"/>
    </row>
    <row r="13" spans="1:29" s="222" customFormat="1" ht="60" customHeight="1">
      <c r="A13" s="350" t="s">
        <v>620</v>
      </c>
      <c r="B13" s="350"/>
      <c r="C13" s="352" t="s">
        <v>495</v>
      </c>
      <c r="D13" s="353" t="s">
        <v>654</v>
      </c>
      <c r="E13" s="359" t="str">
        <f>VLOOKUP(D13,'Catalogo-Datos'!F52:L79,2,FALSE)</f>
        <v xml:space="preserve">Inversor DE 1000  V  para alimentar TV Iluminacion Celulares-Gravadora licuadora  y electrodomesticos de bajo consumo </v>
      </c>
      <c r="F13" s="355">
        <v>0</v>
      </c>
      <c r="G13" s="356">
        <f t="shared" si="2"/>
        <v>0</v>
      </c>
      <c r="H13" s="356">
        <f t="shared" si="3"/>
        <v>0</v>
      </c>
      <c r="I13" s="240">
        <f t="shared" si="1"/>
        <v>0</v>
      </c>
      <c r="J13" s="241">
        <f>Tabla3[[#This Row],[Costos]]*F13</f>
        <v>0</v>
      </c>
      <c r="K13" s="211"/>
      <c r="W13" s="257" t="str">
        <f t="shared" si="4"/>
        <v>0</v>
      </c>
      <c r="X13" s="259" t="s">
        <v>640</v>
      </c>
      <c r="Y13" s="259" t="s">
        <v>303</v>
      </c>
      <c r="Z13" s="174"/>
      <c r="AA13" s="261">
        <f>VLOOKUP(D13,'Catalogo-Datos'!F52:L79,4,FALSE)</f>
        <v>5970</v>
      </c>
      <c r="AB13" s="261">
        <f>VLOOKUP(D13,'Catalogo-Datos'!F52:M79,7,FALSE)</f>
        <v>150</v>
      </c>
      <c r="AC13" s="260"/>
    </row>
    <row r="14" spans="1:29" s="222" customFormat="1" ht="68.25" customHeight="1">
      <c r="A14" s="350" t="s">
        <v>506</v>
      </c>
      <c r="B14" s="361"/>
      <c r="C14" s="363" t="s">
        <v>506</v>
      </c>
      <c r="D14" s="353" t="s">
        <v>770</v>
      </c>
      <c r="E14" s="362" t="str">
        <f>VLOOKUP(D14,'Catalogo-Datos'!F82:L88,2,FALSE)</f>
        <v xml:space="preserve">Lampara de Leds para uso unterior  Mod: 10-12VDC con gabinete metalico para colocarse en los angulos nesesarios </v>
      </c>
      <c r="F14" s="355">
        <v>0</v>
      </c>
      <c r="G14" s="356">
        <f t="shared" si="2"/>
        <v>0</v>
      </c>
      <c r="H14" s="356">
        <f t="shared" si="3"/>
        <v>0</v>
      </c>
      <c r="I14" s="240">
        <f t="shared" si="1"/>
        <v>0</v>
      </c>
      <c r="J14" s="241">
        <f>Tabla3[[#This Row],[Costos]]*F14</f>
        <v>0</v>
      </c>
      <c r="K14" s="211"/>
      <c r="W14" s="257" t="str">
        <f t="shared" si="4"/>
        <v>0</v>
      </c>
      <c r="X14" s="259" t="s">
        <v>317</v>
      </c>
      <c r="Y14" s="259" t="s">
        <v>235</v>
      </c>
      <c r="Z14" s="174"/>
      <c r="AA14" s="261">
        <f>VLOOKUP(D14,'Catalogo-Datos'!F82:L88,4,FALSE)</f>
        <v>164.65</v>
      </c>
      <c r="AB14" s="261">
        <f>VLOOKUP(D14,'Catalogo-Datos'!F82:M88,7,FALSE)</f>
        <v>89</v>
      </c>
      <c r="AC14" s="260"/>
    </row>
    <row r="15" spans="1:29" s="222" customFormat="1" ht="53.25" customHeight="1">
      <c r="A15" s="116" t="s">
        <v>621</v>
      </c>
      <c r="B15" s="156"/>
      <c r="C15" s="364" t="s">
        <v>506</v>
      </c>
      <c r="D15" s="267" t="s">
        <v>318</v>
      </c>
      <c r="E15" s="115" t="str">
        <f>VLOOKUP(D15,'Catalogo-Datos'!F82:L88,2,FALSE)</f>
        <v xml:space="preserve">Lampara Circular de Leds para uso unterior Mod: Par 30-5W-12DC  con gabinete metalico para colocarse en los angulos nesesarios </v>
      </c>
      <c r="F15" s="355">
        <v>0</v>
      </c>
      <c r="G15" s="223">
        <f t="shared" si="2"/>
        <v>0</v>
      </c>
      <c r="H15" s="223">
        <f t="shared" si="3"/>
        <v>0</v>
      </c>
      <c r="I15" s="240">
        <f t="shared" si="1"/>
        <v>0</v>
      </c>
      <c r="J15" s="241">
        <f>Tabla3[[#This Row],[Costos]]*F15</f>
        <v>0</v>
      </c>
      <c r="K15" s="211"/>
      <c r="W15" s="257" t="str">
        <f t="shared" si="4"/>
        <v>0</v>
      </c>
      <c r="X15" s="259" t="s">
        <v>640</v>
      </c>
      <c r="Y15" s="259" t="s">
        <v>337</v>
      </c>
      <c r="Z15" s="174"/>
      <c r="AA15" s="261">
        <f>VLOOKUP(D15,'Catalogo-Datos'!F82:L88,4,FALSE)</f>
        <v>273</v>
      </c>
      <c r="AB15" s="261">
        <f>VLOOKUP(D15,'Catalogo-Datos'!F82:M88,7,FALSE)</f>
        <v>130</v>
      </c>
      <c r="AC15" s="260"/>
    </row>
    <row r="16" spans="1:29" s="222" customFormat="1" ht="58.5" customHeight="1">
      <c r="A16" s="116" t="s">
        <v>622</v>
      </c>
      <c r="B16" s="156"/>
      <c r="C16" s="364" t="s">
        <v>507</v>
      </c>
      <c r="D16" s="267" t="s">
        <v>753</v>
      </c>
      <c r="E16" s="154" t="str">
        <f>VLOOKUP(D16,'Catalogo-Datos'!F90:L107,2,FALSE)</f>
        <v xml:space="preserve">Lámpara de leds a 12  O 127 VDC O AC   9w  </v>
      </c>
      <c r="F16" s="355">
        <v>0</v>
      </c>
      <c r="G16" s="223">
        <f t="shared" si="2"/>
        <v>0</v>
      </c>
      <c r="H16" s="223">
        <f t="shared" si="3"/>
        <v>0</v>
      </c>
      <c r="I16" s="240">
        <f t="shared" si="1"/>
        <v>0</v>
      </c>
      <c r="J16" s="241">
        <f>Tabla3[[#This Row],[Costos]]*F16</f>
        <v>0</v>
      </c>
      <c r="K16" s="211"/>
      <c r="W16" s="257" t="str">
        <f t="shared" si="4"/>
        <v>0</v>
      </c>
      <c r="X16" s="259" t="s">
        <v>640</v>
      </c>
      <c r="Y16" s="259" t="s">
        <v>760</v>
      </c>
      <c r="Z16" s="174"/>
      <c r="AA16" s="261">
        <f>VLOOKUP(D16,'Catalogo-Datos'!F90:L107,4,FALSE)</f>
        <v>223.125</v>
      </c>
      <c r="AB16" s="261">
        <f>VLOOKUP(D16,'Catalogo-Datos'!F90:M107,7,FALSE)</f>
        <v>4.25</v>
      </c>
      <c r="AC16" s="260"/>
    </row>
    <row r="17" spans="1:30" s="222" customFormat="1" ht="63" customHeight="1">
      <c r="A17" s="365" t="s">
        <v>623</v>
      </c>
      <c r="B17" s="366"/>
      <c r="C17" s="367" t="s">
        <v>496</v>
      </c>
      <c r="D17" s="368" t="s">
        <v>303</v>
      </c>
      <c r="E17" s="369" t="str">
        <f>VLOOKUP(D17,'Catalogo-Datos'!F109:L111,2,FALSE)</f>
        <v xml:space="preserve">Kit electrico para iliminacion a Corriente Alterna Incluye Clavija, Socket, Socket de Cadena Apagador Y accesorios para instalar </v>
      </c>
      <c r="F17" s="355"/>
      <c r="G17" s="370">
        <f t="shared" si="2"/>
        <v>0</v>
      </c>
      <c r="H17" s="370">
        <f t="shared" si="3"/>
        <v>0</v>
      </c>
      <c r="I17" s="240">
        <f t="shared" si="1"/>
        <v>0</v>
      </c>
      <c r="J17" s="241">
        <f>Tabla3[[#This Row],[Costos]]*F17</f>
        <v>0</v>
      </c>
      <c r="K17" s="211"/>
      <c r="W17" s="257" t="str">
        <f t="shared" si="4"/>
        <v>0</v>
      </c>
      <c r="X17" s="259" t="s">
        <v>303</v>
      </c>
      <c r="Y17" s="202" t="s">
        <v>614</v>
      </c>
      <c r="Z17" s="174"/>
      <c r="AA17" s="261">
        <f>VLOOKUP(D17,'Catalogo-Datos'!F109:L111,4,FALSE)</f>
        <v>441</v>
      </c>
      <c r="AB17" s="261">
        <f>VLOOKUP(D17,'Catalogo-Datos'!F109:M111,7,FALSE)</f>
        <v>21</v>
      </c>
      <c r="AC17" s="260"/>
    </row>
    <row r="18" spans="1:30" s="222" customFormat="1" ht="46.5" customHeight="1">
      <c r="A18" s="365" t="s">
        <v>624</v>
      </c>
      <c r="B18" s="365"/>
      <c r="C18" s="367" t="s">
        <v>497</v>
      </c>
      <c r="D18" s="368" t="s">
        <v>234</v>
      </c>
      <c r="E18" s="369" t="str">
        <f>VLOOKUP(D18,'Catalogo-Datos'!F112:L118,2,FALSE)</f>
        <v xml:space="preserve">Tablero metalico y Aluminio Antiderrapante para Integracion de Sistema para uso basico para una bateria  (planta lista para usar)PARA UNA BATERIA </v>
      </c>
      <c r="F18" s="355">
        <v>1</v>
      </c>
      <c r="G18" s="370">
        <f t="shared" si="2"/>
        <v>1575</v>
      </c>
      <c r="H18" s="370">
        <f t="shared" si="3"/>
        <v>1575</v>
      </c>
      <c r="I18" s="240">
        <f t="shared" si="1"/>
        <v>75</v>
      </c>
      <c r="J18" s="241">
        <f>Tabla3[[#This Row],[Costos]]*F18</f>
        <v>75</v>
      </c>
      <c r="K18" s="211"/>
      <c r="W18" s="257" t="str">
        <f t="shared" si="4"/>
        <v>GHS-Tab-1B</v>
      </c>
      <c r="X18" s="259" t="s">
        <v>235</v>
      </c>
      <c r="Y18" s="319"/>
      <c r="Z18" s="174"/>
      <c r="AA18" s="261">
        <f>VLOOKUP(D18,'Catalogo-Datos'!F112:L118,4,FALSE)</f>
        <v>1575</v>
      </c>
      <c r="AB18" s="261">
        <f>VLOOKUP(D18,'Catalogo-Datos'!F112:M118,7,FALSE)</f>
        <v>75</v>
      </c>
      <c r="AC18" s="260"/>
    </row>
    <row r="19" spans="1:30" s="222" customFormat="1" ht="46.5" customHeight="1">
      <c r="A19" s="365" t="s">
        <v>625</v>
      </c>
      <c r="B19" s="365"/>
      <c r="C19" s="367" t="s">
        <v>498</v>
      </c>
      <c r="D19" s="368" t="s">
        <v>337</v>
      </c>
      <c r="E19" s="369" t="str">
        <f>VLOOKUP(D19,'Catalogo-Datos'!F120:L128,2,FALSE)</f>
        <v xml:space="preserve">Bastidor de aluminio para 1módulos de 50 W a 130 W para fijación a piso o losa, incluye tornillería inoxidable y escuadras para fijación </v>
      </c>
      <c r="F19" s="355">
        <v>1</v>
      </c>
      <c r="G19" s="370">
        <f t="shared" si="2"/>
        <v>945</v>
      </c>
      <c r="H19" s="370">
        <f t="shared" si="3"/>
        <v>945</v>
      </c>
      <c r="I19" s="240">
        <f t="shared" si="1"/>
        <v>45</v>
      </c>
      <c r="J19" s="241">
        <f>Tabla3[[#This Row],[Costos]]*F19</f>
        <v>45</v>
      </c>
      <c r="K19" s="211"/>
      <c r="W19" s="257" t="str">
        <f t="shared" si="4"/>
        <v>Bast-1-50/150</v>
      </c>
      <c r="X19" s="259" t="s">
        <v>337</v>
      </c>
      <c r="Y19" s="319"/>
      <c r="Z19" s="174"/>
      <c r="AA19" s="261">
        <f>VLOOKUP(D19,'Catalogo-Datos'!F120:L128,4,FALSE)</f>
        <v>945</v>
      </c>
      <c r="AB19" s="261">
        <f>VLOOKUP(D19,'Catalogo-Datos'!F120:M128,7,FALSE)</f>
        <v>45</v>
      </c>
      <c r="AC19" s="260"/>
    </row>
    <row r="20" spans="1:30" s="222" customFormat="1" ht="55.5" customHeight="1">
      <c r="A20" s="365" t="s">
        <v>626</v>
      </c>
      <c r="B20" s="366"/>
      <c r="C20" s="367" t="s">
        <v>502</v>
      </c>
      <c r="D20" s="368" t="s">
        <v>342</v>
      </c>
      <c r="E20" s="369" t="str">
        <f>VLOOKUP(D20,'Catalogo-Datos'!F129:L138,2,FALSE)</f>
        <v>Soporte tubular con inclinación/orientación ajustable para 2 módulo (50W a 130 W). Incluye: Tubo acero  de 3 m altura (ced.30, 60 mm. diam), cabezal , travesaño "T" + abrazadera, tornillería</v>
      </c>
      <c r="F20" s="355">
        <v>0</v>
      </c>
      <c r="G20" s="370">
        <f t="shared" si="2"/>
        <v>0</v>
      </c>
      <c r="H20" s="370">
        <f t="shared" si="3"/>
        <v>0</v>
      </c>
      <c r="I20" s="240">
        <f t="shared" si="1"/>
        <v>0</v>
      </c>
      <c r="J20" s="241">
        <f>Tabla3[[#This Row],[Costos]]*F20</f>
        <v>0</v>
      </c>
      <c r="K20" s="211"/>
      <c r="W20" s="257" t="str">
        <f t="shared" si="4"/>
        <v>0</v>
      </c>
      <c r="X20" s="259" t="s">
        <v>640</v>
      </c>
      <c r="Y20" s="319"/>
      <c r="Z20" s="174"/>
      <c r="AA20" s="261">
        <f>VLOOKUP(D20,'Catalogo-Datos'!F129:L138,4,FALSE)</f>
        <v>1443.75</v>
      </c>
      <c r="AB20" s="261">
        <f>VLOOKUP(D20,'Catalogo-Datos'!F129:M138,7,FALSE)</f>
        <v>55</v>
      </c>
      <c r="AC20" s="260"/>
    </row>
    <row r="21" spans="1:30" s="222" customFormat="1" ht="74.25" customHeight="1">
      <c r="A21" s="116" t="s">
        <v>627</v>
      </c>
      <c r="B21" s="116"/>
      <c r="C21" s="212" t="s">
        <v>499</v>
      </c>
      <c r="D21" s="267" t="s">
        <v>329</v>
      </c>
      <c r="E21" s="154" t="str">
        <f>VLOOKUP(D21,'Catalogo-Datos'!F140:L144,2,FALSE)</f>
        <v xml:space="preserve">Gabinete metalico para integracion de planta con una Bateria </v>
      </c>
      <c r="F21" s="355">
        <v>0</v>
      </c>
      <c r="G21" s="223">
        <f t="shared" si="2"/>
        <v>0</v>
      </c>
      <c r="H21" s="223">
        <f t="shared" si="3"/>
        <v>0</v>
      </c>
      <c r="I21" s="240">
        <f t="shared" si="1"/>
        <v>0</v>
      </c>
      <c r="J21" s="241">
        <f>Tabla3[[#This Row],[Costos]]*F21</f>
        <v>0</v>
      </c>
      <c r="K21" s="211"/>
      <c r="W21" s="257" t="str">
        <f t="shared" si="4"/>
        <v>0</v>
      </c>
      <c r="X21" s="259" t="s">
        <v>640</v>
      </c>
      <c r="Y21" s="319"/>
      <c r="Z21" s="174"/>
      <c r="AA21" s="261">
        <f>VLOOKUP(D21,'Catalogo-Datos'!F140:L144,4,FALSE)</f>
        <v>2604</v>
      </c>
      <c r="AB21" s="261">
        <f>VLOOKUP(D21,'Catalogo-Datos'!F140:M144,7,FALSE)</f>
        <v>80</v>
      </c>
      <c r="AC21" s="260"/>
    </row>
    <row r="22" spans="1:30" s="222" customFormat="1" ht="65.25" customHeight="1">
      <c r="A22" s="116" t="s">
        <v>628</v>
      </c>
      <c r="B22" s="116"/>
      <c r="C22" s="214" t="s">
        <v>500</v>
      </c>
      <c r="D22" s="267" t="s">
        <v>358</v>
      </c>
      <c r="E22" s="154" t="str">
        <f>VLOOKUP(D22,'Catalogo-Datos'!F146:L151,2,FALSE)</f>
        <v>Sistema Solar de Refrigeración rural que incluye: Refrigerador de 50 litros de alta eficiencia, arreglo solar de 100 W, una batería de 115 Ah libre de mantenimiento, controlador de carga y todo lo necesario para una instalación profesional.</v>
      </c>
      <c r="F22" s="355">
        <v>0</v>
      </c>
      <c r="G22" s="223">
        <f t="shared" si="2"/>
        <v>0</v>
      </c>
      <c r="H22" s="223">
        <f t="shared" si="3"/>
        <v>0</v>
      </c>
      <c r="I22" s="240">
        <f t="shared" si="1"/>
        <v>0</v>
      </c>
      <c r="J22" s="241">
        <f>Tabla3[[#This Row],[Costos]]*F22</f>
        <v>0</v>
      </c>
      <c r="K22" s="211"/>
      <c r="W22" s="257" t="str">
        <f t="shared" si="4"/>
        <v>0</v>
      </c>
      <c r="X22" s="259" t="s">
        <v>640</v>
      </c>
      <c r="Y22" s="319"/>
      <c r="Z22" s="174"/>
      <c r="AA22" s="261">
        <f>VLOOKUP(D22,'Catalogo-Datos'!F146:L151,4,FALSE)</f>
        <v>27984</v>
      </c>
      <c r="AB22" s="261">
        <f>VLOOKUP(D22,'Catalogo-Datos'!F146:M151,7,FALSE)</f>
        <v>1166</v>
      </c>
      <c r="AC22" s="260"/>
    </row>
    <row r="23" spans="1:30" s="222" customFormat="1" ht="54.75" customHeight="1">
      <c r="A23" s="116" t="s">
        <v>629</v>
      </c>
      <c r="B23" s="116"/>
      <c r="C23" s="294" t="s">
        <v>593</v>
      </c>
      <c r="D23" s="267" t="s">
        <v>760</v>
      </c>
      <c r="E23" s="154" t="str">
        <f>VLOOKUP(D23,'Catalogo-Datos'!F172:L175,2,FALSE)</f>
        <v xml:space="preserve">Material electrico para instalacion de planta solar INCLUYE: Cableado   necesario  para conexión de modulos y planta, Accesorios, Cableado diferentes calibres, (Protecciones especiales.  </v>
      </c>
      <c r="F23" s="355">
        <v>1</v>
      </c>
      <c r="G23" s="223">
        <f t="shared" si="2"/>
        <v>1050</v>
      </c>
      <c r="H23" s="223">
        <f t="shared" si="3"/>
        <v>1050</v>
      </c>
      <c r="I23" s="240">
        <f t="shared" si="1"/>
        <v>50</v>
      </c>
      <c r="J23" s="241">
        <f>Tabla3[[#This Row],[Costos]]*F23</f>
        <v>50</v>
      </c>
      <c r="K23" s="211"/>
      <c r="W23" s="257" t="str">
        <f t="shared" si="4"/>
        <v>Mat-Electr - PARA PLANTA</v>
      </c>
      <c r="X23" s="259" t="s">
        <v>760</v>
      </c>
      <c r="Y23" s="319"/>
      <c r="Z23" s="174"/>
      <c r="AA23" s="261">
        <f>VLOOKUP(D23,'Catalogo-Datos'!$F$172:$L$175,4,FALSE)</f>
        <v>1050</v>
      </c>
      <c r="AB23" s="261">
        <f>VLOOKUP(D23,'Catalogo-Datos'!F172:M175,7,FALSE)</f>
        <v>50</v>
      </c>
      <c r="AC23" s="260"/>
    </row>
    <row r="24" spans="1:30" s="222" customFormat="1" ht="54.75" customHeight="1">
      <c r="A24" s="116" t="s">
        <v>629</v>
      </c>
      <c r="B24" s="116"/>
      <c r="C24" s="256" t="s">
        <v>594</v>
      </c>
      <c r="D24" s="267" t="s">
        <v>590</v>
      </c>
      <c r="E24" s="154" t="str">
        <f>VLOOKUP(D23,'Catalogo-Datos'!F172:L175,2,FALSE)</f>
        <v xml:space="preserve">Material electrico para instalacion de planta solar INCLUYE: Cableado   necesario  para conexión de modulos y planta, Accesorios, Cableado diferentes calibres, (Protecciones especiales.  </v>
      </c>
      <c r="F24" s="355">
        <v>0</v>
      </c>
      <c r="G24" s="223">
        <f t="shared" si="2"/>
        <v>0</v>
      </c>
      <c r="H24" s="223">
        <f t="shared" si="3"/>
        <v>0</v>
      </c>
      <c r="I24" s="240">
        <f t="shared" si="1"/>
        <v>0</v>
      </c>
      <c r="J24" s="241">
        <f>Tabla3[[#This Row],[Costos]]*F24</f>
        <v>0</v>
      </c>
      <c r="K24" s="211"/>
      <c r="W24" s="257" t="str">
        <f t="shared" si="4"/>
        <v>0</v>
      </c>
      <c r="X24" s="259" t="s">
        <v>640</v>
      </c>
      <c r="Y24" s="319"/>
      <c r="Z24" s="174"/>
      <c r="AA24" s="261" t="e">
        <f>VLOOKUP(D24,'Catalogo-Datos'!$F$172:$L$175,4,FALSE)</f>
        <v>#N/A</v>
      </c>
      <c r="AB24" s="261" t="e">
        <f>VLOOKUP(D24,'Catalogo-Datos'!F172:M175,7,FALSE)</f>
        <v>#N/A</v>
      </c>
      <c r="AC24" s="260"/>
    </row>
    <row r="25" spans="1:30" s="222" customFormat="1" ht="54.75" customHeight="1">
      <c r="A25" s="365" t="s">
        <v>629</v>
      </c>
      <c r="B25" s="365"/>
      <c r="C25" s="371" t="s">
        <v>503</v>
      </c>
      <c r="D25" s="368" t="s">
        <v>591</v>
      </c>
      <c r="E25" s="372" t="str">
        <f>VLOOKUP(D23,'Catalogo-Datos'!F172:L175,2,FALSE)</f>
        <v xml:space="preserve">Material electrico para instalacion de planta solar INCLUYE: Cableado   necesario  para conexión de modulos y planta, Accesorios, Cableado diferentes calibres, (Protecciones especiales.  </v>
      </c>
      <c r="F25" s="355">
        <v>0</v>
      </c>
      <c r="G25" s="370">
        <f t="shared" si="2"/>
        <v>0</v>
      </c>
      <c r="H25" s="370">
        <f t="shared" si="3"/>
        <v>0</v>
      </c>
      <c r="I25" s="240">
        <f t="shared" si="1"/>
        <v>0</v>
      </c>
      <c r="J25" s="241">
        <f>Tabla3[[#This Row],[Costos]]*F25</f>
        <v>0</v>
      </c>
      <c r="K25" s="211"/>
      <c r="W25" s="257" t="str">
        <f t="shared" si="4"/>
        <v>0</v>
      </c>
      <c r="X25" s="259" t="s">
        <v>640</v>
      </c>
      <c r="Y25" s="319"/>
      <c r="Z25" s="174"/>
      <c r="AA25" s="261" t="e">
        <f>VLOOKUP(D25,'Catalogo-Datos'!$F$172:$L$175,4,FALSE)</f>
        <v>#N/A</v>
      </c>
      <c r="AB25" s="261" t="e">
        <f>VLOOKUP(D25,'Catalogo-Datos'!F172:M175,7,FALSE)</f>
        <v>#N/A</v>
      </c>
      <c r="AC25" s="260"/>
    </row>
    <row r="26" spans="1:30" s="222" customFormat="1" ht="51.75" customHeight="1">
      <c r="A26" s="365" t="s">
        <v>631</v>
      </c>
      <c r="B26" s="365"/>
      <c r="C26" s="374" t="s">
        <v>545</v>
      </c>
      <c r="D26" s="375" t="s">
        <v>547</v>
      </c>
      <c r="E26" s="372" t="str">
        <f>VLOOKUP(D26,'Catalogo-Datos'!F187:K190,2,FALSE)</f>
        <v>Tierra Fisica Convencional: 1 Electrodo con conectores y cable desnudo</v>
      </c>
      <c r="F26" s="355">
        <v>1</v>
      </c>
      <c r="G26" s="370">
        <f t="shared" si="2"/>
        <v>787.5</v>
      </c>
      <c r="H26" s="370">
        <f t="shared" si="3"/>
        <v>787.5</v>
      </c>
      <c r="I26" s="240">
        <f t="shared" si="1"/>
        <v>25</v>
      </c>
      <c r="J26" s="241">
        <f>Tabla3[[#This Row],[Costos]]*F26</f>
        <v>25</v>
      </c>
      <c r="K26" s="211"/>
      <c r="W26" s="257" t="str">
        <f t="shared" si="4"/>
        <v>Tierra Fisica1</v>
      </c>
      <c r="X26" s="259" t="s">
        <v>640</v>
      </c>
      <c r="Y26" s="319"/>
      <c r="Z26" s="174"/>
      <c r="AA26" s="305">
        <f>VLOOKUP(D26,'Catalogo-Datos'!F187:L190,4,FALSE)</f>
        <v>787.5</v>
      </c>
      <c r="AB26" s="263">
        <f>VLOOKUP(D26,'Catalogo-Datos'!F187:M190,7,FALSE)</f>
        <v>25</v>
      </c>
      <c r="AC26" s="260"/>
    </row>
    <row r="27" spans="1:30" s="222" customFormat="1" ht="72" customHeight="1">
      <c r="A27" s="365" t="s">
        <v>555</v>
      </c>
      <c r="B27" s="365"/>
      <c r="C27" s="373" t="s">
        <v>544</v>
      </c>
      <c r="D27" s="368" t="s">
        <v>521</v>
      </c>
      <c r="E27" s="369" t="str">
        <f>VLOOKUP(D27,'Catalogo-Datos'!F182:L185,2,FALSE)</f>
        <v xml:space="preserve">Caja combinadora para UN string de 16 A 500V, considerando 10 paneles con una corriente de corto circuito de 9.31 A y un voltaje de circuito abierto de 37.5
</v>
      </c>
      <c r="F27" s="355">
        <v>0</v>
      </c>
      <c r="G27" s="370">
        <f t="shared" si="2"/>
        <v>0</v>
      </c>
      <c r="H27" s="370">
        <f t="shared" si="3"/>
        <v>0</v>
      </c>
      <c r="I27" s="240">
        <f t="shared" ref="I27:I30" si="5">IF(F27&gt;0,AB27,0)</f>
        <v>0</v>
      </c>
      <c r="J27" s="241">
        <f>Tabla3[[#This Row],[Costos]]*F27</f>
        <v>0</v>
      </c>
      <c r="K27" s="211"/>
      <c r="W27" s="257" t="str">
        <f t="shared" si="4"/>
        <v>0</v>
      </c>
      <c r="X27" s="174" t="s">
        <v>640</v>
      </c>
      <c r="Y27" s="319"/>
      <c r="Z27" s="264"/>
      <c r="AA27" s="261">
        <f>VLOOKUP(D27,'Catalogo-Datos'!F182:L185,4,FALSE)</f>
        <v>3622.5</v>
      </c>
      <c r="AB27" s="261">
        <f>VLOOKUP(D27,'Catalogo-Datos'!F182:M185,7,FALSE)</f>
        <v>115</v>
      </c>
      <c r="AC27" s="260"/>
      <c r="AD27" s="260"/>
    </row>
    <row r="28" spans="1:30" s="222" customFormat="1" ht="72" customHeight="1">
      <c r="A28" s="116" t="s">
        <v>632</v>
      </c>
      <c r="B28" s="116"/>
      <c r="C28" s="213" t="s">
        <v>554</v>
      </c>
      <c r="D28" s="267" t="s">
        <v>575</v>
      </c>
      <c r="E28" s="154" t="str">
        <f>VLOOKUP(D28,'Catalogo-Datos'!F192:J196,2,FALSE)</f>
        <v xml:space="preserve">Para Rayo Tipo KDA 05 INCLUYE: 1 Sistema Integrado, Mastil de 9 mts de Altura  en torre metalica  Ancla de 20x20X80 cm tipo Visagra, Reguilete de Cobre, Compuesto para Aterrizaje, Cable Desnudo calibre 2-0 Para una covertura de 300 metros de diametro  con torre metalica </v>
      </c>
      <c r="F28" s="355">
        <v>0</v>
      </c>
      <c r="G28" s="223">
        <f t="shared" si="2"/>
        <v>0</v>
      </c>
      <c r="H28" s="223">
        <f t="shared" si="3"/>
        <v>0</v>
      </c>
      <c r="I28" s="240">
        <f t="shared" si="5"/>
        <v>0</v>
      </c>
      <c r="J28" s="241">
        <f>Tabla3[[#This Row],[Costos]]*F28</f>
        <v>0</v>
      </c>
      <c r="K28" s="211"/>
      <c r="W28" s="257" t="str">
        <f t="shared" si="4"/>
        <v>0</v>
      </c>
      <c r="X28" s="174" t="s">
        <v>640</v>
      </c>
      <c r="Y28" s="319"/>
      <c r="Z28" s="264"/>
      <c r="AA28" s="263">
        <f>VLOOKUP(D28,'Catalogo-Datos'!F192:L196,4,FALSE)</f>
        <v>4805.8499999999995</v>
      </c>
      <c r="AB28" s="263">
        <f>VLOOKUP(D28,'Catalogo-Datos'!F192:M196,7,FALSE)</f>
        <v>115</v>
      </c>
      <c r="AC28" s="260"/>
      <c r="AD28" s="260"/>
    </row>
    <row r="29" spans="1:30" s="222" customFormat="1" ht="72" customHeight="1">
      <c r="A29" s="116" t="s">
        <v>633</v>
      </c>
      <c r="B29" s="116"/>
      <c r="C29" s="213" t="s">
        <v>576</v>
      </c>
      <c r="D29" s="267" t="s">
        <v>578</v>
      </c>
      <c r="E29" s="154" t="str">
        <f>VLOOKUP(D29,'Catalogo-Datos'!F198:L203,2,FALSE)</f>
        <v>Mastil Pararrayo</v>
      </c>
      <c r="F29" s="355">
        <v>0</v>
      </c>
      <c r="G29" s="223">
        <f t="shared" si="2"/>
        <v>0</v>
      </c>
      <c r="H29" s="223">
        <f t="shared" si="3"/>
        <v>0</v>
      </c>
      <c r="I29" s="240">
        <f t="shared" si="5"/>
        <v>0</v>
      </c>
      <c r="J29" s="241">
        <f>Tabla3[[#This Row],[Costos]]*F29</f>
        <v>0</v>
      </c>
      <c r="K29" s="211"/>
      <c r="W29" s="257" t="str">
        <f t="shared" si="4"/>
        <v>0</v>
      </c>
      <c r="X29" s="174" t="s">
        <v>640</v>
      </c>
      <c r="Y29" s="319"/>
      <c r="Z29" s="264"/>
      <c r="AA29" s="265">
        <f>VLOOKUP(D29,'Catalogo-Datos'!F198:L203,4,FALSE)</f>
        <v>154623</v>
      </c>
      <c r="AB29" s="265">
        <f>VLOOKUP(D29,'Catalogo-Datos'!F198:L203,7,FALSE)</f>
        <v>3700</v>
      </c>
      <c r="AC29" s="260"/>
      <c r="AD29" s="260"/>
    </row>
    <row r="30" spans="1:30" s="222" customFormat="1" ht="72" customHeight="1">
      <c r="A30" s="365" t="s">
        <v>630</v>
      </c>
      <c r="B30" s="365"/>
      <c r="C30" s="376" t="s">
        <v>501</v>
      </c>
      <c r="D30" s="368" t="s">
        <v>614</v>
      </c>
      <c r="E30" s="372" t="str">
        <f>VLOOKUP(D30,'Catalogo-Datos'!F177:L180,2,FALSE)</f>
        <v xml:space="preserve">Servicio Tecnico Calificado-3 Traslado al sitio Inspeccion Visual Y tecnico para diagnosticar fallas y posibles soluciones para restaurar planta solar  </v>
      </c>
      <c r="F30" s="355">
        <v>4</v>
      </c>
      <c r="G30" s="370">
        <f t="shared" si="2"/>
        <v>1680</v>
      </c>
      <c r="H30" s="370">
        <f t="shared" si="3"/>
        <v>6720</v>
      </c>
      <c r="I30" s="240">
        <f t="shared" si="5"/>
        <v>80</v>
      </c>
      <c r="J30" s="241">
        <f>Tabla3[[#This Row],[Costos]]*F30</f>
        <v>320</v>
      </c>
      <c r="K30" s="211"/>
      <c r="W30" s="257" t="str">
        <f t="shared" si="4"/>
        <v>Mano de Obra 3</v>
      </c>
      <c r="X30" s="174" t="s">
        <v>614</v>
      </c>
      <c r="Y30" s="319"/>
      <c r="Z30" s="264"/>
      <c r="AA30" s="266">
        <f>VLOOKUP(D30,'Catalogo-Datos'!F177:M180,4,FALSE)</f>
        <v>1680</v>
      </c>
      <c r="AB30" s="266">
        <f>VLOOKUP(D30,'Catalogo-Datos'!F177:M180,7,FALSE)</f>
        <v>80</v>
      </c>
      <c r="AC30" s="260"/>
      <c r="AD30" s="260"/>
    </row>
    <row r="31" spans="1:30" ht="31.5" customHeight="1">
      <c r="C31" s="293" t="s">
        <v>592</v>
      </c>
      <c r="D31" s="119"/>
      <c r="E31" s="268"/>
      <c r="F31" s="268">
        <v>0</v>
      </c>
      <c r="G31" s="269" t="s">
        <v>430</v>
      </c>
      <c r="H31" s="270">
        <f>SUM(H8:H30)</f>
        <v>25050</v>
      </c>
      <c r="I31" s="242"/>
      <c r="J31" s="241"/>
      <c r="K31" s="211"/>
      <c r="AC31" s="260"/>
      <c r="AD31" s="260"/>
    </row>
    <row r="32" spans="1:30" ht="19.899999999999999" customHeight="1">
      <c r="C32"/>
      <c r="D32" s="119"/>
      <c r="E32" s="268" t="s">
        <v>431</v>
      </c>
      <c r="F32" s="271"/>
      <c r="G32" s="269">
        <v>0</v>
      </c>
      <c r="H32" s="270">
        <f>H31*G32</f>
        <v>0</v>
      </c>
      <c r="I32" s="242"/>
      <c r="J32" s="241"/>
      <c r="K32" s="211"/>
    </row>
    <row r="33" spans="2:11" ht="19.899999999999999" customHeight="1">
      <c r="C33"/>
      <c r="D33" s="119"/>
      <c r="E33" s="268"/>
      <c r="F33" s="268"/>
      <c r="G33" s="269"/>
      <c r="H33" s="270">
        <f>H32+H31</f>
        <v>25050</v>
      </c>
      <c r="I33" s="242"/>
      <c r="J33" s="243"/>
      <c r="K33" s="211"/>
    </row>
    <row r="34" spans="2:11" ht="19.899999999999999" customHeight="1">
      <c r="C34"/>
      <c r="D34" s="118"/>
      <c r="E34" s="272"/>
      <c r="F34" s="272"/>
      <c r="G34" s="269">
        <v>0.16</v>
      </c>
      <c r="H34" s="270">
        <f>H33*G34</f>
        <v>4008</v>
      </c>
      <c r="I34" s="242"/>
      <c r="J34" s="241"/>
      <c r="K34" s="211"/>
    </row>
    <row r="35" spans="2:11" ht="21">
      <c r="C35"/>
      <c r="D35" s="118"/>
      <c r="E35" s="268"/>
      <c r="F35" s="268"/>
      <c r="G35" s="268" t="s">
        <v>432</v>
      </c>
      <c r="H35" s="273">
        <f>H34+H33</f>
        <v>29058</v>
      </c>
      <c r="I35" s="242">
        <f t="shared" ref="I35" si="6">IF(F35&gt;0,M35,0)</f>
        <v>0</v>
      </c>
      <c r="J35" s="241">
        <f>J34*I34</f>
        <v>0</v>
      </c>
      <c r="K35" s="211"/>
    </row>
    <row r="36" spans="2:11" ht="21">
      <c r="C36"/>
      <c r="F36" s="271" t="s">
        <v>539</v>
      </c>
      <c r="G36" s="269">
        <v>0</v>
      </c>
      <c r="H36" s="273">
        <f>H35*G36</f>
        <v>0</v>
      </c>
    </row>
    <row r="37" spans="2:11" ht="21">
      <c r="C37"/>
      <c r="G37" s="268"/>
      <c r="H37" s="273">
        <f>H35-H36</f>
        <v>29058</v>
      </c>
      <c r="J37" s="244"/>
    </row>
    <row r="38" spans="2:11">
      <c r="C38"/>
    </row>
    <row r="39" spans="2:11" ht="18.75">
      <c r="C39"/>
      <c r="H39" s="273"/>
    </row>
    <row r="40" spans="2:11" ht="18.75">
      <c r="D40"/>
      <c r="E40"/>
      <c r="F40"/>
      <c r="G40"/>
      <c r="H40" s="273">
        <f>H39*1.16</f>
        <v>0</v>
      </c>
    </row>
    <row r="41" spans="2:11">
      <c r="D41"/>
      <c r="E41"/>
      <c r="F41"/>
      <c r="G41"/>
      <c r="H41"/>
    </row>
    <row r="42" spans="2:11">
      <c r="D42"/>
      <c r="E42"/>
      <c r="F42"/>
      <c r="G42"/>
      <c r="H42"/>
    </row>
    <row r="43" spans="2:11" ht="74.25" customHeight="1">
      <c r="B43" s="220"/>
      <c r="C43" s="221"/>
      <c r="D43" s="219"/>
      <c r="E43" s="219"/>
      <c r="F43" s="219"/>
      <c r="G43" s="219"/>
      <c r="H43" s="219"/>
      <c r="I43" s="219"/>
      <c r="J43" s="219"/>
    </row>
    <row r="44" spans="2:11" ht="114.75" customHeight="1">
      <c r="B44" s="220"/>
      <c r="C44" s="221"/>
      <c r="D44" s="219"/>
      <c r="E44" s="219"/>
      <c r="F44" s="219"/>
      <c r="G44" s="219"/>
      <c r="H44" s="219"/>
      <c r="I44" s="219"/>
      <c r="J44" s="219"/>
    </row>
    <row r="45" spans="2:11" ht="120" customHeight="1">
      <c r="B45" s="220"/>
      <c r="C45" s="221"/>
      <c r="D45" s="219"/>
      <c r="E45" s="219"/>
      <c r="F45" s="219"/>
      <c r="G45" s="219"/>
      <c r="H45" s="219"/>
      <c r="I45" s="219"/>
      <c r="J45" s="219"/>
    </row>
    <row r="46" spans="2:11">
      <c r="B46" s="220"/>
      <c r="C46" s="221"/>
      <c r="D46" s="219"/>
      <c r="E46" s="219"/>
      <c r="F46" s="219"/>
      <c r="G46" s="219"/>
      <c r="H46" s="219"/>
      <c r="I46" s="219"/>
      <c r="J46" s="219"/>
    </row>
    <row r="47" spans="2:11">
      <c r="B47" s="220"/>
      <c r="C47" s="221"/>
      <c r="D47" s="219"/>
      <c r="E47" s="219"/>
      <c r="F47" s="219"/>
      <c r="G47" s="219"/>
      <c r="H47" s="219"/>
      <c r="I47" s="219"/>
      <c r="J47" s="219"/>
    </row>
    <row r="48" spans="2:11">
      <c r="B48" s="220"/>
      <c r="C48" s="221"/>
      <c r="D48" s="219"/>
      <c r="E48" s="219"/>
      <c r="F48" s="219"/>
      <c r="G48" s="219"/>
      <c r="H48" s="219"/>
      <c r="I48" s="219"/>
      <c r="J48" s="219"/>
    </row>
    <row r="49" spans="2:10">
      <c r="B49" s="220"/>
      <c r="C49" s="221"/>
      <c r="D49" s="219"/>
      <c r="E49" s="219"/>
      <c r="F49" s="219"/>
      <c r="G49" s="219"/>
      <c r="H49" s="219"/>
      <c r="I49" s="219"/>
      <c r="J49" s="219"/>
    </row>
    <row r="50" spans="2:10">
      <c r="B50" s="220"/>
      <c r="C50" s="221"/>
      <c r="D50" s="219"/>
      <c r="E50" s="219"/>
      <c r="F50" s="219"/>
      <c r="G50" s="219"/>
      <c r="H50" s="219"/>
      <c r="I50" s="219"/>
      <c r="J50" s="219"/>
    </row>
    <row r="51" spans="2:10">
      <c r="B51" s="220"/>
      <c r="C51" s="221"/>
      <c r="D51" s="219"/>
      <c r="E51" s="219"/>
      <c r="F51" s="219"/>
      <c r="G51" s="219"/>
      <c r="H51" s="219"/>
      <c r="I51" s="219"/>
      <c r="J51" s="219"/>
    </row>
    <row r="52" spans="2:10">
      <c r="B52" s="220"/>
      <c r="C52" s="221"/>
      <c r="D52" s="219"/>
      <c r="E52" s="219"/>
      <c r="F52" s="219"/>
      <c r="G52" s="219"/>
      <c r="H52" s="219"/>
      <c r="I52" s="219"/>
      <c r="J52" s="219"/>
    </row>
    <row r="53" spans="2:10">
      <c r="B53" s="220"/>
      <c r="C53" s="221"/>
      <c r="D53" s="219"/>
      <c r="E53" s="219"/>
      <c r="F53" s="219"/>
      <c r="G53" s="219"/>
      <c r="H53" s="219"/>
      <c r="I53" s="219"/>
      <c r="J53" s="219"/>
    </row>
    <row r="54" spans="2:10">
      <c r="B54" s="220"/>
      <c r="C54" s="221"/>
      <c r="D54" s="219"/>
      <c r="E54" s="219"/>
      <c r="F54" s="219"/>
      <c r="G54" s="219"/>
      <c r="H54" s="219"/>
      <c r="I54" s="219"/>
      <c r="J54" s="219"/>
    </row>
    <row r="55" spans="2:10">
      <c r="B55" s="220"/>
      <c r="C55" s="221"/>
      <c r="D55" s="219"/>
      <c r="E55" s="219"/>
      <c r="F55" s="219"/>
      <c r="G55" s="219"/>
      <c r="H55" s="219"/>
      <c r="I55" s="219"/>
      <c r="J55" s="219"/>
    </row>
    <row r="56" spans="2:10">
      <c r="B56" s="220"/>
      <c r="C56" s="221"/>
      <c r="D56" s="219"/>
      <c r="E56" s="219"/>
      <c r="F56" s="219"/>
      <c r="G56" s="219"/>
      <c r="H56" s="219"/>
      <c r="I56" s="219"/>
      <c r="J56" s="219"/>
    </row>
    <row r="57" spans="2:10">
      <c r="B57" s="220"/>
      <c r="C57" s="221"/>
      <c r="D57" s="219"/>
      <c r="E57" s="219"/>
      <c r="F57" s="219"/>
      <c r="G57" s="219"/>
      <c r="H57" s="219"/>
      <c r="I57" s="219"/>
      <c r="J57" s="219"/>
    </row>
    <row r="58" spans="2:10">
      <c r="B58" s="220"/>
      <c r="C58" s="221"/>
      <c r="D58" s="219"/>
      <c r="E58" s="219"/>
      <c r="F58" s="219"/>
      <c r="G58" s="219"/>
      <c r="H58" s="219"/>
      <c r="I58" s="219"/>
      <c r="J58" s="219"/>
    </row>
    <row r="59" spans="2:10">
      <c r="B59" s="220"/>
      <c r="C59" s="221"/>
      <c r="D59" s="219"/>
      <c r="E59" s="219"/>
      <c r="F59" s="219"/>
      <c r="G59" s="219"/>
      <c r="H59" s="219"/>
      <c r="I59" s="219"/>
      <c r="J59" s="219"/>
    </row>
    <row r="60" spans="2:10">
      <c r="B60" s="220"/>
      <c r="C60" s="221"/>
      <c r="D60" s="219"/>
      <c r="E60" s="219"/>
      <c r="F60" s="219"/>
      <c r="G60" s="219"/>
      <c r="H60" s="219"/>
      <c r="I60" s="219"/>
      <c r="J60" s="219"/>
    </row>
    <row r="61" spans="2:10">
      <c r="B61" s="220"/>
      <c r="C61" s="221"/>
      <c r="D61" s="219"/>
      <c r="E61" s="219"/>
      <c r="F61" s="219"/>
      <c r="G61" s="219"/>
      <c r="H61" s="219"/>
      <c r="I61" s="219"/>
      <c r="J61" s="219"/>
    </row>
    <row r="62" spans="2:10">
      <c r="B62" s="220"/>
      <c r="C62" s="221"/>
      <c r="D62" s="219"/>
      <c r="E62" s="219"/>
      <c r="F62" s="219"/>
      <c r="G62" s="219"/>
      <c r="H62" s="219"/>
      <c r="I62" s="219"/>
      <c r="J62" s="219"/>
    </row>
    <row r="63" spans="2:10">
      <c r="B63" s="220"/>
      <c r="C63" s="221"/>
      <c r="D63" s="219"/>
      <c r="E63" s="219"/>
      <c r="F63" s="219"/>
      <c r="G63" s="219"/>
      <c r="H63" s="219"/>
      <c r="I63" s="219"/>
      <c r="J63" s="219"/>
    </row>
    <row r="64" spans="2:10">
      <c r="B64" s="220"/>
      <c r="C64" s="221"/>
      <c r="D64" s="219"/>
      <c r="E64" s="219"/>
      <c r="F64" s="219"/>
      <c r="G64" s="219"/>
      <c r="H64" s="219"/>
      <c r="I64" s="219"/>
      <c r="J64" s="219"/>
    </row>
    <row r="65" spans="2:10">
      <c r="B65" s="220"/>
      <c r="C65" s="221"/>
      <c r="D65" s="219"/>
      <c r="E65" s="219"/>
      <c r="F65" s="219"/>
      <c r="G65" s="219"/>
      <c r="H65" s="219"/>
      <c r="I65" s="219"/>
      <c r="J65" s="219"/>
    </row>
    <row r="66" spans="2:10">
      <c r="B66" s="220"/>
      <c r="C66" s="221"/>
      <c r="D66" s="219"/>
      <c r="E66" s="219"/>
      <c r="F66" s="219"/>
      <c r="G66" s="219"/>
      <c r="H66" s="219"/>
      <c r="I66" s="219"/>
      <c r="J66" s="219"/>
    </row>
    <row r="67" spans="2:10">
      <c r="B67" s="220"/>
      <c r="C67" s="221"/>
      <c r="D67" s="219"/>
      <c r="E67" s="219"/>
      <c r="F67" s="219"/>
      <c r="G67" s="219"/>
      <c r="H67" s="219"/>
      <c r="I67" s="219"/>
      <c r="J67" s="219"/>
    </row>
    <row r="68" spans="2:10">
      <c r="B68" s="220"/>
      <c r="C68" s="221"/>
      <c r="D68" s="219"/>
      <c r="E68" s="219"/>
      <c r="F68" s="219"/>
      <c r="G68" s="219"/>
      <c r="H68" s="219"/>
      <c r="I68" s="219"/>
      <c r="J68" s="219"/>
    </row>
    <row r="69" spans="2:10">
      <c r="B69" s="220"/>
      <c r="C69" s="221"/>
      <c r="D69" s="219"/>
      <c r="E69" s="219"/>
      <c r="F69" s="219"/>
      <c r="G69" s="219"/>
      <c r="H69" s="219"/>
      <c r="I69" s="219"/>
      <c r="J69" s="219"/>
    </row>
    <row r="70" spans="2:10">
      <c r="B70" s="220"/>
      <c r="C70" s="221"/>
      <c r="D70" s="219"/>
      <c r="E70" s="219"/>
      <c r="F70" s="219"/>
      <c r="G70" s="219"/>
      <c r="H70" s="219"/>
      <c r="I70" s="219"/>
      <c r="J70" s="219"/>
    </row>
    <row r="71" spans="2:10">
      <c r="B71" s="220"/>
      <c r="C71" s="221"/>
      <c r="D71" s="219"/>
      <c r="E71" s="219"/>
      <c r="F71" s="219"/>
      <c r="G71" s="219"/>
      <c r="H71" s="219"/>
      <c r="I71" s="219"/>
      <c r="J71" s="219"/>
    </row>
    <row r="72" spans="2:10">
      <c r="B72" s="220"/>
      <c r="C72" s="221"/>
      <c r="D72" s="219"/>
      <c r="E72" s="219"/>
      <c r="F72" s="219"/>
      <c r="G72" s="219"/>
      <c r="H72" s="219"/>
      <c r="I72" s="219"/>
      <c r="J72" s="219"/>
    </row>
    <row r="73" spans="2:10">
      <c r="B73" s="220"/>
      <c r="C73" s="221"/>
      <c r="D73" s="219"/>
      <c r="E73" s="219"/>
      <c r="F73" s="219"/>
      <c r="G73" s="219"/>
      <c r="H73" s="219"/>
      <c r="I73" s="219"/>
      <c r="J73" s="219"/>
    </row>
    <row r="74" spans="2:10">
      <c r="B74" s="220"/>
      <c r="C74" s="221"/>
      <c r="D74" s="219"/>
      <c r="E74" s="219"/>
      <c r="F74" s="219"/>
      <c r="G74" s="219"/>
      <c r="H74" s="219"/>
      <c r="I74" s="219"/>
      <c r="J74" s="219"/>
    </row>
    <row r="75" spans="2:10">
      <c r="B75" s="220"/>
      <c r="C75" s="221"/>
      <c r="D75" s="219"/>
      <c r="E75" s="219"/>
      <c r="F75" s="219"/>
      <c r="G75" s="219"/>
      <c r="H75" s="219"/>
      <c r="I75" s="219"/>
      <c r="J75" s="219"/>
    </row>
    <row r="76" spans="2:10">
      <c r="B76" s="220"/>
      <c r="C76" s="221"/>
      <c r="D76" s="219"/>
      <c r="E76" s="219"/>
      <c r="F76" s="219"/>
      <c r="G76" s="219"/>
      <c r="H76" s="219"/>
      <c r="I76" s="219"/>
      <c r="J76" s="219"/>
    </row>
    <row r="77" spans="2:10">
      <c r="B77" s="220"/>
      <c r="C77" s="221"/>
      <c r="D77" s="219"/>
      <c r="E77" s="219"/>
      <c r="F77" s="219"/>
      <c r="G77" s="219"/>
      <c r="H77" s="219"/>
      <c r="I77" s="219"/>
      <c r="J77" s="219"/>
    </row>
    <row r="78" spans="2:10">
      <c r="B78" s="220"/>
      <c r="C78" s="221"/>
      <c r="D78" s="219"/>
      <c r="E78" s="219"/>
      <c r="F78" s="219"/>
      <c r="G78" s="219"/>
      <c r="H78" s="219"/>
      <c r="I78" s="219"/>
      <c r="J78" s="219"/>
    </row>
    <row r="79" spans="2:10">
      <c r="B79" s="220"/>
      <c r="C79" s="221"/>
      <c r="D79" s="219"/>
      <c r="E79" s="219"/>
      <c r="F79" s="219"/>
      <c r="G79" s="219"/>
      <c r="H79" s="219"/>
      <c r="I79" s="219"/>
      <c r="J79" s="219"/>
    </row>
    <row r="80" spans="2:10">
      <c r="B80" s="220"/>
      <c r="C80" s="221"/>
      <c r="D80" s="219"/>
      <c r="E80" s="219"/>
      <c r="F80" s="219"/>
      <c r="G80" s="219"/>
      <c r="H80" s="219"/>
      <c r="I80" s="219"/>
      <c r="J80" s="219"/>
    </row>
    <row r="81" spans="1:10">
      <c r="B81" s="220"/>
      <c r="C81" s="221"/>
      <c r="D81" s="219"/>
      <c r="E81" s="219"/>
      <c r="F81" s="219"/>
      <c r="G81" s="219"/>
      <c r="H81" s="219"/>
      <c r="I81" s="219"/>
      <c r="J81" s="219"/>
    </row>
    <row r="82" spans="1:10">
      <c r="A82" s="120"/>
      <c r="B82" s="219"/>
      <c r="C82" s="219"/>
      <c r="D82" s="219"/>
      <c r="E82" s="219"/>
      <c r="F82" s="219"/>
      <c r="G82" s="219"/>
      <c r="H82" s="219"/>
      <c r="I82" s="219"/>
      <c r="J82" s="219"/>
    </row>
    <row r="83" spans="1:10">
      <c r="A83" s="120"/>
      <c r="B83" s="219"/>
      <c r="C83" s="219"/>
      <c r="D83" s="219"/>
      <c r="E83" s="219"/>
      <c r="F83" s="219"/>
      <c r="G83" s="219"/>
      <c r="H83" s="219"/>
      <c r="I83" s="219"/>
      <c r="J83" s="219"/>
    </row>
    <row r="84" spans="1:10">
      <c r="A84" s="120"/>
      <c r="B84" s="219"/>
      <c r="C84" s="219"/>
      <c r="D84" s="219"/>
      <c r="E84" s="219"/>
      <c r="F84" s="219"/>
      <c r="G84" s="219"/>
      <c r="H84" s="219"/>
      <c r="I84" s="219"/>
      <c r="J84" s="219"/>
    </row>
    <row r="85" spans="1:10">
      <c r="A85" s="120"/>
      <c r="B85" s="219"/>
      <c r="C85" s="219"/>
      <c r="D85" s="219"/>
      <c r="E85" s="219"/>
      <c r="F85" s="219"/>
      <c r="G85" s="219"/>
      <c r="H85" s="219"/>
      <c r="I85" s="219"/>
      <c r="J85" s="219"/>
    </row>
    <row r="86" spans="1:10">
      <c r="A86" s="120"/>
      <c r="B86" s="219"/>
      <c r="C86" s="219"/>
      <c r="D86" s="219"/>
      <c r="E86" s="219"/>
      <c r="F86" s="219"/>
      <c r="G86" s="219"/>
      <c r="H86" s="219"/>
      <c r="I86" s="219"/>
      <c r="J86" s="219"/>
    </row>
    <row r="87" spans="1:10">
      <c r="A87" s="120"/>
      <c r="B87" s="219"/>
      <c r="C87" s="219"/>
      <c r="D87" s="219"/>
      <c r="E87" s="219"/>
      <c r="F87" s="219"/>
      <c r="G87" s="219"/>
      <c r="H87" s="219"/>
      <c r="I87" s="219"/>
      <c r="J87" s="219"/>
    </row>
    <row r="88" spans="1:10">
      <c r="A88" s="120"/>
      <c r="B88" s="219"/>
      <c r="C88" s="219"/>
      <c r="D88" s="219"/>
      <c r="E88" s="219"/>
      <c r="F88" s="219"/>
      <c r="G88" s="219"/>
      <c r="H88" s="219"/>
      <c r="I88" s="219"/>
      <c r="J88" s="219"/>
    </row>
    <row r="89" spans="1:10">
      <c r="A89" s="120"/>
      <c r="B89" s="219"/>
      <c r="C89" s="219"/>
      <c r="D89" s="219"/>
      <c r="E89" s="219"/>
      <c r="F89" s="219"/>
      <c r="G89" s="219"/>
      <c r="H89" s="219"/>
      <c r="I89" s="219"/>
      <c r="J89" s="219"/>
    </row>
    <row r="90" spans="1:10">
      <c r="A90" s="120"/>
      <c r="B90" s="219"/>
      <c r="C90" s="219" t="s">
        <v>668</v>
      </c>
      <c r="D90" s="219"/>
      <c r="E90" s="219"/>
      <c r="F90" s="219"/>
      <c r="G90" s="219"/>
      <c r="H90" s="219"/>
      <c r="I90" s="219"/>
      <c r="J90" s="219"/>
    </row>
    <row r="91" spans="1:10" ht="24.75" customHeight="1">
      <c r="A91" s="120"/>
      <c r="B91" s="219"/>
      <c r="C91" s="219" t="s">
        <v>483</v>
      </c>
      <c r="D91" s="219"/>
      <c r="E91" s="219"/>
      <c r="F91" s="219"/>
      <c r="G91" s="219"/>
      <c r="H91" s="219"/>
      <c r="I91" s="219"/>
      <c r="J91" s="219"/>
    </row>
    <row r="92" spans="1:10" ht="32.25" customHeight="1">
      <c r="A92" s="120"/>
      <c r="B92" s="219"/>
      <c r="C92" s="219">
        <v>0</v>
      </c>
      <c r="D92" s="219"/>
      <c r="E92" s="219"/>
      <c r="F92" s="219"/>
      <c r="G92" s="219"/>
      <c r="H92" s="219"/>
      <c r="I92" s="219"/>
      <c r="J92" s="219"/>
    </row>
    <row r="93" spans="1:10">
      <c r="A93" s="120"/>
      <c r="B93" s="219"/>
      <c r="C93" s="219" t="s">
        <v>606</v>
      </c>
      <c r="D93" s="219"/>
      <c r="E93" s="219"/>
      <c r="F93" s="219"/>
      <c r="G93" s="219"/>
      <c r="H93" s="219"/>
      <c r="I93" s="219"/>
      <c r="J93" s="219"/>
    </row>
    <row r="94" spans="1:10" ht="33.75" customHeight="1">
      <c r="A94" s="120"/>
      <c r="B94" s="219"/>
      <c r="C94" s="219" t="s">
        <v>479</v>
      </c>
      <c r="D94" s="219"/>
      <c r="E94" s="219"/>
      <c r="F94" s="219"/>
      <c r="G94" s="219"/>
      <c r="H94" s="219"/>
      <c r="I94" s="219"/>
      <c r="J94" s="219"/>
    </row>
    <row r="95" spans="1:10" ht="27.75" customHeight="1">
      <c r="A95" s="120"/>
      <c r="B95" s="219"/>
      <c r="C95" s="219">
        <v>0</v>
      </c>
      <c r="D95" s="219"/>
      <c r="E95" s="219"/>
      <c r="F95" s="219"/>
      <c r="G95" s="219"/>
      <c r="H95" s="219"/>
      <c r="I95" s="219"/>
      <c r="J95" s="219"/>
    </row>
    <row r="96" spans="1:10">
      <c r="A96" s="120"/>
      <c r="B96" s="219"/>
      <c r="C96" s="219" t="s">
        <v>317</v>
      </c>
      <c r="D96" s="219"/>
      <c r="E96" s="219"/>
      <c r="F96" s="219"/>
      <c r="G96" s="219"/>
      <c r="H96" s="219"/>
      <c r="I96" s="219"/>
      <c r="J96" s="219"/>
    </row>
    <row r="97" spans="1:10" ht="28.5" customHeight="1">
      <c r="A97" s="120"/>
      <c r="B97" s="219"/>
      <c r="C97" s="219">
        <v>0</v>
      </c>
      <c r="D97" s="219"/>
      <c r="E97" s="219"/>
      <c r="F97" s="219"/>
      <c r="G97" s="219"/>
      <c r="H97" s="219"/>
      <c r="I97" s="219"/>
      <c r="J97" s="219"/>
    </row>
    <row r="98" spans="1:10" ht="28.5" customHeight="1">
      <c r="A98" s="120"/>
      <c r="B98" s="219"/>
      <c r="C98" s="219">
        <v>0</v>
      </c>
      <c r="D98" s="219"/>
      <c r="E98" s="219"/>
      <c r="F98" s="219"/>
      <c r="G98" s="219"/>
      <c r="H98" s="219"/>
      <c r="I98" s="219"/>
      <c r="J98" s="219"/>
    </row>
    <row r="99" spans="1:10">
      <c r="A99" s="120"/>
      <c r="B99" s="219"/>
      <c r="C99" s="219" t="s">
        <v>303</v>
      </c>
      <c r="D99" s="219"/>
      <c r="E99" s="219"/>
      <c r="F99" s="219"/>
      <c r="G99" s="219"/>
      <c r="H99" s="219"/>
      <c r="I99" s="219"/>
      <c r="J99" s="219"/>
    </row>
    <row r="100" spans="1:10" ht="27.75" customHeight="1">
      <c r="A100" s="120"/>
      <c r="B100" s="219"/>
      <c r="C100" s="219" t="s">
        <v>235</v>
      </c>
      <c r="D100" s="219"/>
      <c r="E100" s="219"/>
      <c r="F100" s="219"/>
      <c r="G100" s="219"/>
      <c r="H100" s="219"/>
      <c r="I100" s="219"/>
      <c r="J100" s="219"/>
    </row>
    <row r="101" spans="1:10" ht="21" customHeight="1">
      <c r="A101" s="120"/>
      <c r="B101" s="219"/>
      <c r="C101" s="219" t="s">
        <v>337</v>
      </c>
      <c r="D101" s="219"/>
      <c r="E101" s="219"/>
      <c r="F101" s="219"/>
      <c r="G101" s="219"/>
      <c r="H101" s="219"/>
      <c r="I101" s="219"/>
      <c r="J101" s="219"/>
    </row>
    <row r="102" spans="1:10" ht="25.5" customHeight="1">
      <c r="A102" s="120"/>
      <c r="B102" s="219"/>
      <c r="C102" s="219">
        <v>0</v>
      </c>
      <c r="D102" s="219"/>
      <c r="E102" s="219"/>
      <c r="F102" s="219"/>
      <c r="G102" s="219"/>
      <c r="H102" s="219"/>
      <c r="I102" s="219"/>
      <c r="J102" s="219"/>
    </row>
    <row r="103" spans="1:10">
      <c r="A103" s="120"/>
      <c r="B103" s="219"/>
      <c r="C103" s="219">
        <v>0</v>
      </c>
      <c r="D103" s="219"/>
      <c r="E103" s="219"/>
      <c r="F103" s="219"/>
      <c r="G103" s="219"/>
      <c r="H103" s="219"/>
      <c r="I103" s="219"/>
      <c r="J103" s="219"/>
    </row>
    <row r="104" spans="1:10">
      <c r="A104" s="120"/>
      <c r="B104" s="219"/>
      <c r="C104" s="219">
        <v>0</v>
      </c>
      <c r="D104" s="219"/>
      <c r="E104" s="219"/>
      <c r="F104" s="219"/>
      <c r="G104" s="219"/>
      <c r="H104" s="219"/>
      <c r="I104" s="219"/>
      <c r="J104" s="219"/>
    </row>
    <row r="105" spans="1:10">
      <c r="A105" s="120"/>
      <c r="B105" s="219"/>
      <c r="C105" s="219" t="s">
        <v>760</v>
      </c>
      <c r="D105" s="219"/>
      <c r="E105" s="219"/>
      <c r="F105" s="219"/>
      <c r="G105" s="219"/>
      <c r="H105" s="219"/>
      <c r="I105" s="219"/>
      <c r="J105" s="219"/>
    </row>
    <row r="106" spans="1:10">
      <c r="A106" s="120"/>
      <c r="B106" s="219"/>
      <c r="C106" s="219">
        <v>0</v>
      </c>
      <c r="D106" s="219"/>
      <c r="E106" s="219"/>
      <c r="F106" s="219"/>
      <c r="G106" s="219"/>
      <c r="H106" s="219"/>
      <c r="I106" s="219"/>
      <c r="J106" s="219"/>
    </row>
    <row r="107" spans="1:10" ht="14.25" customHeight="1">
      <c r="A107" s="120"/>
      <c r="B107" s="219"/>
      <c r="C107" s="219">
        <v>0</v>
      </c>
      <c r="D107" s="219"/>
      <c r="E107" s="219"/>
      <c r="F107" s="219"/>
      <c r="G107" s="219"/>
      <c r="H107" s="219"/>
      <c r="I107" s="219"/>
      <c r="J107" s="219"/>
    </row>
    <row r="108" spans="1:10">
      <c r="A108" s="120"/>
      <c r="B108" s="219"/>
      <c r="C108" s="219">
        <v>0</v>
      </c>
      <c r="D108" s="219"/>
      <c r="E108" s="219"/>
      <c r="F108" s="219"/>
      <c r="G108" s="219"/>
      <c r="H108" s="219"/>
      <c r="I108" s="219"/>
      <c r="J108" s="219"/>
    </row>
    <row r="109" spans="1:10">
      <c r="A109" s="120"/>
      <c r="B109" s="219"/>
      <c r="C109" s="219">
        <v>0</v>
      </c>
      <c r="D109" s="219"/>
      <c r="E109" s="219"/>
      <c r="F109" s="219"/>
      <c r="G109" s="219"/>
      <c r="H109" s="219"/>
      <c r="I109" s="219"/>
      <c r="J109" s="219"/>
    </row>
    <row r="110" spans="1:10" ht="15.75" customHeight="1">
      <c r="A110" s="120"/>
      <c r="B110" s="219"/>
      <c r="C110" s="219">
        <v>0</v>
      </c>
      <c r="D110" s="219"/>
      <c r="E110" s="219"/>
      <c r="F110" s="219"/>
      <c r="G110" s="219"/>
      <c r="H110" s="219"/>
      <c r="I110" s="219"/>
      <c r="J110" s="219"/>
    </row>
    <row r="111" spans="1:10">
      <c r="A111" s="120"/>
      <c r="B111" s="219"/>
      <c r="C111" s="219">
        <v>0</v>
      </c>
      <c r="D111" s="219"/>
      <c r="E111" s="219"/>
      <c r="F111" s="219"/>
      <c r="G111" s="219"/>
      <c r="H111" s="219"/>
      <c r="I111" s="219"/>
      <c r="J111" s="219"/>
    </row>
    <row r="112" spans="1:10">
      <c r="A112" s="120"/>
      <c r="B112" s="219"/>
      <c r="C112" s="219" t="s">
        <v>614</v>
      </c>
      <c r="D112" s="219"/>
      <c r="E112" s="219"/>
      <c r="F112" s="219"/>
      <c r="G112" s="219"/>
      <c r="H112" s="219"/>
      <c r="I112" s="219"/>
      <c r="J112" s="219"/>
    </row>
    <row r="113" spans="1:10">
      <c r="A113" s="120"/>
      <c r="B113" s="219"/>
      <c r="C113" s="219"/>
      <c r="D113" s="219"/>
      <c r="E113" s="219"/>
      <c r="F113" s="219"/>
      <c r="G113" s="219"/>
      <c r="H113" s="219"/>
      <c r="I113" s="219"/>
      <c r="J113" s="219"/>
    </row>
    <row r="114" spans="1:10">
      <c r="A114" s="120"/>
      <c r="B114" s="219"/>
      <c r="C114" s="219"/>
      <c r="D114" s="219"/>
      <c r="E114" s="219"/>
      <c r="F114" s="219"/>
      <c r="G114" s="219"/>
      <c r="H114" s="219"/>
      <c r="I114" s="219"/>
      <c r="J114" s="219"/>
    </row>
    <row r="115" spans="1:10">
      <c r="A115" s="120"/>
      <c r="B115" s="219"/>
      <c r="C115" s="219"/>
      <c r="D115" s="219"/>
      <c r="E115" s="219"/>
      <c r="F115" s="219"/>
      <c r="G115" s="219"/>
      <c r="H115" s="219"/>
      <c r="I115" s="219"/>
      <c r="J115" s="219"/>
    </row>
    <row r="116" spans="1:10">
      <c r="A116" s="120"/>
      <c r="B116" s="219"/>
      <c r="C116" s="219"/>
      <c r="D116" s="219"/>
      <c r="E116" s="219"/>
      <c r="F116" s="219"/>
      <c r="G116" s="219"/>
      <c r="H116" s="219"/>
      <c r="I116" s="219"/>
      <c r="J116" s="219"/>
    </row>
    <row r="117" spans="1:10">
      <c r="A117" s="120"/>
      <c r="B117" s="219"/>
      <c r="C117" s="219"/>
      <c r="D117" s="219"/>
      <c r="E117" s="219"/>
      <c r="F117" s="219"/>
      <c r="G117" s="219"/>
      <c r="H117" s="219"/>
      <c r="I117" s="219"/>
      <c r="J117" s="219"/>
    </row>
    <row r="118" spans="1:10">
      <c r="A118" s="120"/>
      <c r="B118" s="219"/>
      <c r="C118" s="219"/>
      <c r="D118" s="219"/>
      <c r="E118" s="219"/>
      <c r="F118" s="219"/>
      <c r="G118" s="219"/>
      <c r="H118" s="219"/>
      <c r="I118" s="219"/>
      <c r="J118" s="219"/>
    </row>
    <row r="119" spans="1:10">
      <c r="A119" s="120"/>
      <c r="B119" s="219"/>
      <c r="C119" s="219"/>
      <c r="D119" s="219"/>
      <c r="E119" s="219"/>
      <c r="F119" s="219"/>
      <c r="G119" s="219"/>
      <c r="H119" s="219"/>
      <c r="I119" s="219"/>
      <c r="J119" s="219"/>
    </row>
    <row r="120" spans="1:10">
      <c r="A120" s="120"/>
      <c r="B120" s="219"/>
      <c r="C120" s="219"/>
      <c r="D120" s="219"/>
      <c r="E120" s="219"/>
      <c r="F120" s="219"/>
      <c r="G120" s="219"/>
      <c r="H120" s="219"/>
      <c r="I120" s="219"/>
      <c r="J120" s="219"/>
    </row>
    <row r="121" spans="1:10">
      <c r="A121" s="120"/>
      <c r="B121" s="219"/>
      <c r="C121" s="219"/>
      <c r="D121" s="219"/>
      <c r="E121" s="219"/>
      <c r="F121" s="219"/>
      <c r="G121" s="219"/>
      <c r="H121" s="219"/>
      <c r="I121" s="219"/>
      <c r="J121" s="219"/>
    </row>
    <row r="122" spans="1:10">
      <c r="A122" s="120"/>
      <c r="B122" s="219"/>
      <c r="C122" s="219"/>
      <c r="D122" s="219"/>
      <c r="E122" s="219"/>
      <c r="F122" s="219"/>
      <c r="G122" s="219"/>
      <c r="H122" s="219"/>
      <c r="I122" s="219"/>
      <c r="J122" s="219"/>
    </row>
    <row r="123" spans="1:10">
      <c r="A123" s="120"/>
      <c r="B123" s="219"/>
      <c r="C123" s="219"/>
      <c r="D123" s="219"/>
      <c r="E123" s="219"/>
      <c r="F123" s="219"/>
      <c r="G123" s="219"/>
      <c r="H123" s="219"/>
      <c r="I123" s="219"/>
      <c r="J123" s="219"/>
    </row>
    <row r="124" spans="1:10">
      <c r="A124" s="120"/>
      <c r="B124" s="219"/>
      <c r="C124" s="219"/>
      <c r="D124" s="219"/>
      <c r="E124" s="219"/>
      <c r="F124" s="219"/>
      <c r="G124" s="219"/>
      <c r="H124" s="219"/>
      <c r="I124" s="219"/>
      <c r="J124" s="219"/>
    </row>
    <row r="125" spans="1:10">
      <c r="A125" s="120"/>
      <c r="B125" s="219"/>
      <c r="C125" s="219"/>
      <c r="D125" s="219"/>
      <c r="E125" s="219"/>
      <c r="F125" s="219"/>
      <c r="G125" s="219"/>
      <c r="H125" s="219"/>
      <c r="I125" s="219"/>
      <c r="J125" s="219"/>
    </row>
    <row r="126" spans="1:10">
      <c r="A126" s="120"/>
      <c r="B126" s="219"/>
      <c r="C126" s="219"/>
      <c r="D126" s="219"/>
      <c r="E126" s="219"/>
      <c r="F126" s="219"/>
      <c r="G126" s="219"/>
      <c r="H126" s="219"/>
      <c r="I126" s="219"/>
      <c r="J126" s="219"/>
    </row>
    <row r="127" spans="1:10">
      <c r="A127" s="120"/>
      <c r="B127" s="219"/>
      <c r="C127" s="219"/>
      <c r="D127" s="219"/>
      <c r="E127" s="219"/>
      <c r="F127" s="219"/>
      <c r="G127" s="219"/>
      <c r="H127" s="219"/>
      <c r="I127" s="219"/>
      <c r="J127" s="219"/>
    </row>
    <row r="128" spans="1:10">
      <c r="A128" s="120"/>
      <c r="B128" s="219"/>
      <c r="C128" s="219"/>
      <c r="D128" s="219"/>
      <c r="E128" s="219"/>
      <c r="F128" s="219"/>
      <c r="G128" s="219"/>
      <c r="H128" s="219"/>
      <c r="I128" s="219"/>
      <c r="J128" s="219"/>
    </row>
    <row r="129" spans="1:10">
      <c r="A129" s="120"/>
      <c r="B129" s="219"/>
      <c r="C129" s="219"/>
      <c r="D129" s="219"/>
      <c r="E129" s="219"/>
      <c r="F129" s="219"/>
      <c r="G129" s="219"/>
      <c r="H129" s="219"/>
      <c r="I129" s="219"/>
      <c r="J129" s="219"/>
    </row>
    <row r="130" spans="1:10">
      <c r="A130" s="120"/>
      <c r="B130" s="219"/>
      <c r="C130" s="219"/>
      <c r="D130" s="219"/>
      <c r="E130" s="219"/>
      <c r="F130" s="219"/>
      <c r="G130" s="219"/>
      <c r="H130" s="219"/>
      <c r="I130" s="219"/>
      <c r="J130" s="219"/>
    </row>
    <row r="131" spans="1:10">
      <c r="A131" s="120"/>
      <c r="B131" s="219"/>
      <c r="C131" s="219"/>
      <c r="D131" s="219"/>
      <c r="E131" s="219"/>
      <c r="F131" s="219"/>
      <c r="G131" s="219"/>
      <c r="H131" s="219"/>
      <c r="I131" s="219"/>
      <c r="J131" s="219"/>
    </row>
    <row r="132" spans="1:10">
      <c r="A132" s="120"/>
      <c r="B132" s="219"/>
      <c r="C132" s="219"/>
      <c r="D132" s="219"/>
      <c r="E132" s="219"/>
      <c r="F132" s="219"/>
      <c r="G132" s="219"/>
      <c r="H132" s="219"/>
      <c r="I132" s="219"/>
      <c r="J132" s="219"/>
    </row>
    <row r="133" spans="1:10">
      <c r="A133" s="120"/>
      <c r="B133" s="219"/>
      <c r="C133" s="219"/>
      <c r="D133" s="219"/>
      <c r="E133" s="219"/>
      <c r="F133" s="219"/>
      <c r="G133" s="219"/>
      <c r="H133" s="219"/>
      <c r="I133" s="219"/>
      <c r="J133" s="219"/>
    </row>
    <row r="134" spans="1:10">
      <c r="A134" s="120"/>
      <c r="B134" s="219"/>
      <c r="C134" s="219"/>
      <c r="D134" s="219"/>
      <c r="E134" s="219"/>
      <c r="F134" s="219"/>
      <c r="G134" s="219"/>
      <c r="H134" s="219"/>
      <c r="I134" s="219"/>
      <c r="J134" s="219"/>
    </row>
    <row r="135" spans="1:10">
      <c r="A135" s="120"/>
      <c r="B135" s="219"/>
      <c r="C135" s="219"/>
      <c r="D135" s="219"/>
      <c r="E135" s="219"/>
      <c r="F135" s="219"/>
      <c r="G135" s="219"/>
      <c r="H135" s="219"/>
      <c r="I135" s="219"/>
      <c r="J135" s="219"/>
    </row>
    <row r="136" spans="1:10">
      <c r="A136" s="120"/>
      <c r="B136" s="219"/>
      <c r="C136" s="219"/>
      <c r="D136" s="219"/>
      <c r="E136" s="219"/>
      <c r="F136" s="219"/>
      <c r="G136" s="219"/>
      <c r="H136" s="219"/>
      <c r="I136" s="219"/>
      <c r="J136" s="219"/>
    </row>
    <row r="137" spans="1:10">
      <c r="A137" s="120"/>
      <c r="B137" s="219"/>
      <c r="C137" s="219"/>
      <c r="D137" s="219"/>
      <c r="E137" s="219"/>
      <c r="F137" s="219"/>
      <c r="G137" s="219"/>
      <c r="H137" s="219"/>
      <c r="I137" s="219"/>
      <c r="J137" s="219"/>
    </row>
    <row r="138" spans="1:10">
      <c r="A138" s="120"/>
      <c r="B138" s="219"/>
      <c r="C138" s="219"/>
      <c r="D138" s="219"/>
      <c r="E138" s="219"/>
      <c r="F138" s="219"/>
      <c r="G138" s="219"/>
      <c r="H138" s="219"/>
      <c r="I138" s="219"/>
      <c r="J138" s="219"/>
    </row>
    <row r="139" spans="1:10">
      <c r="A139" s="120"/>
      <c r="B139" s="219"/>
      <c r="C139" s="219"/>
      <c r="D139" s="219"/>
      <c r="E139" s="219"/>
      <c r="F139" s="219"/>
      <c r="G139" s="219"/>
      <c r="H139" s="219"/>
      <c r="I139" s="219"/>
      <c r="J139" s="219"/>
    </row>
    <row r="140" spans="1:10">
      <c r="A140" s="120"/>
      <c r="B140" s="219"/>
      <c r="C140" s="219"/>
      <c r="D140" s="219"/>
      <c r="E140" s="219"/>
      <c r="F140" s="219"/>
      <c r="G140" s="219"/>
      <c r="H140" s="219"/>
      <c r="I140" s="219"/>
      <c r="J140" s="219"/>
    </row>
    <row r="141" spans="1:10">
      <c r="A141" s="120"/>
      <c r="B141" s="219"/>
      <c r="C141" s="219"/>
      <c r="D141" s="219"/>
      <c r="E141" s="219"/>
      <c r="F141" s="219"/>
      <c r="G141" s="219"/>
      <c r="H141" s="219"/>
      <c r="I141" s="219"/>
      <c r="J141" s="219"/>
    </row>
    <row r="142" spans="1:10">
      <c r="A142" s="120"/>
      <c r="B142" s="219"/>
      <c r="C142" s="219"/>
      <c r="D142" s="219"/>
      <c r="E142" s="219"/>
      <c r="F142" s="219"/>
      <c r="G142" s="219"/>
      <c r="H142" s="219"/>
      <c r="I142" s="219"/>
      <c r="J142" s="219"/>
    </row>
    <row r="143" spans="1:10">
      <c r="A143" s="120"/>
      <c r="B143" s="219"/>
      <c r="C143" s="219"/>
      <c r="D143" s="219"/>
      <c r="E143" s="219"/>
      <c r="F143" s="219"/>
      <c r="G143" s="219"/>
      <c r="H143" s="219"/>
      <c r="I143" s="219"/>
      <c r="J143" s="219"/>
    </row>
    <row r="144" spans="1:10">
      <c r="A144" s="120"/>
      <c r="B144" s="219"/>
      <c r="C144" s="219"/>
      <c r="D144" s="219"/>
      <c r="E144" s="219"/>
      <c r="F144" s="219"/>
      <c r="G144" s="219"/>
      <c r="H144" s="219"/>
      <c r="I144" s="219"/>
      <c r="J144" s="219"/>
    </row>
    <row r="145" spans="1:10">
      <c r="A145" s="120"/>
      <c r="B145" s="219"/>
      <c r="C145" s="219"/>
      <c r="D145" s="219"/>
      <c r="E145" s="219"/>
      <c r="F145" s="219"/>
      <c r="G145" s="219"/>
      <c r="H145" s="219"/>
      <c r="I145" s="219"/>
      <c r="J145" s="219"/>
    </row>
    <row r="146" spans="1:10">
      <c r="A146" s="120"/>
      <c r="B146" s="219"/>
      <c r="C146" s="219"/>
      <c r="D146" s="219"/>
      <c r="E146" s="219"/>
      <c r="F146" s="219"/>
      <c r="G146" s="219"/>
      <c r="H146" s="219"/>
      <c r="I146" s="219"/>
      <c r="J146" s="219"/>
    </row>
    <row r="147" spans="1:10">
      <c r="A147" s="120"/>
      <c r="B147" s="219"/>
      <c r="C147" s="219"/>
      <c r="D147" s="219"/>
      <c r="E147" s="219"/>
      <c r="F147" s="219"/>
      <c r="G147" s="219"/>
      <c r="H147" s="219"/>
      <c r="I147" s="219"/>
      <c r="J147" s="219"/>
    </row>
    <row r="148" spans="1:10">
      <c r="A148" s="120"/>
      <c r="B148" s="219"/>
      <c r="C148" s="219"/>
      <c r="D148" s="219"/>
      <c r="E148" s="219"/>
      <c r="F148" s="219"/>
      <c r="G148" s="219"/>
      <c r="H148" s="219"/>
      <c r="I148" s="219"/>
      <c r="J148" s="219"/>
    </row>
    <row r="149" spans="1:10">
      <c r="A149" s="120"/>
      <c r="B149" s="219"/>
      <c r="C149" s="219"/>
      <c r="D149" s="219"/>
      <c r="E149" s="219"/>
      <c r="F149" s="219"/>
      <c r="G149" s="219"/>
      <c r="H149" s="219"/>
      <c r="I149" s="219"/>
      <c r="J149" s="219"/>
    </row>
    <row r="150" spans="1:10">
      <c r="A150" s="120"/>
      <c r="B150" s="219"/>
      <c r="C150" s="219"/>
      <c r="D150" s="219"/>
      <c r="E150" s="219"/>
      <c r="F150" s="219"/>
      <c r="G150" s="219"/>
      <c r="H150" s="219"/>
      <c r="I150" s="219"/>
      <c r="J150" s="219"/>
    </row>
    <row r="151" spans="1:10">
      <c r="A151" s="120"/>
      <c r="B151" s="219"/>
      <c r="C151" s="219"/>
      <c r="D151" s="219"/>
      <c r="E151" s="219"/>
      <c r="F151" s="219"/>
      <c r="G151" s="219"/>
      <c r="H151" s="219"/>
      <c r="I151" s="219"/>
      <c r="J151" s="219"/>
    </row>
    <row r="152" spans="1:10">
      <c r="A152" s="120"/>
      <c r="B152" s="219"/>
      <c r="C152" s="219"/>
      <c r="D152" s="219"/>
      <c r="E152" s="219"/>
      <c r="F152" s="219"/>
      <c r="G152" s="219"/>
      <c r="H152" s="219"/>
      <c r="I152" s="219"/>
      <c r="J152" s="219"/>
    </row>
    <row r="153" spans="1:10">
      <c r="A153" s="120"/>
      <c r="B153" s="219"/>
      <c r="C153" s="219"/>
      <c r="D153" s="219"/>
      <c r="E153" s="219"/>
      <c r="F153" s="219"/>
      <c r="G153" s="219"/>
      <c r="H153" s="219"/>
      <c r="I153" s="219"/>
      <c r="J153" s="219"/>
    </row>
    <row r="154" spans="1:10">
      <c r="A154" s="120"/>
      <c r="B154" s="219"/>
      <c r="C154" s="219"/>
      <c r="D154" s="219"/>
      <c r="E154" s="219"/>
      <c r="F154" s="219"/>
      <c r="G154" s="219"/>
      <c r="H154" s="219"/>
      <c r="I154" s="219"/>
      <c r="J154" s="219"/>
    </row>
    <row r="155" spans="1:10">
      <c r="A155" s="120"/>
      <c r="B155" s="219"/>
      <c r="C155" s="219"/>
      <c r="D155" s="219"/>
      <c r="E155" s="219"/>
      <c r="F155" s="219"/>
      <c r="G155" s="219"/>
      <c r="H155" s="219"/>
      <c r="I155" s="219"/>
      <c r="J155" s="219"/>
    </row>
    <row r="156" spans="1:10">
      <c r="A156" s="120"/>
      <c r="B156" s="219"/>
      <c r="C156" s="219"/>
      <c r="D156" s="219"/>
      <c r="E156" s="219"/>
      <c r="F156" s="219"/>
      <c r="G156" s="219"/>
      <c r="H156" s="219"/>
      <c r="I156" s="219"/>
      <c r="J156" s="219"/>
    </row>
    <row r="157" spans="1:10">
      <c r="A157" s="120"/>
      <c r="B157" s="219"/>
      <c r="C157" s="219"/>
      <c r="D157" s="219"/>
      <c r="E157" s="219"/>
      <c r="F157" s="219"/>
      <c r="G157" s="219"/>
      <c r="H157" s="219"/>
      <c r="I157" s="219"/>
      <c r="J157" s="219"/>
    </row>
    <row r="158" spans="1:10">
      <c r="A158" s="120"/>
      <c r="B158" s="219"/>
      <c r="C158" s="219"/>
      <c r="D158" s="219"/>
      <c r="E158" s="219"/>
      <c r="F158" s="219"/>
      <c r="G158" s="219"/>
      <c r="H158" s="219"/>
      <c r="I158" s="219"/>
      <c r="J158" s="219"/>
    </row>
    <row r="159" spans="1:10">
      <c r="A159" s="120"/>
      <c r="B159" s="219"/>
      <c r="C159" s="219"/>
      <c r="D159" s="219"/>
      <c r="E159" s="219"/>
      <c r="F159" s="219"/>
      <c r="G159" s="219"/>
      <c r="H159" s="219"/>
      <c r="I159" s="219"/>
      <c r="J159" s="219"/>
    </row>
    <row r="160" spans="1:10">
      <c r="A160" s="120"/>
      <c r="B160" s="219"/>
      <c r="C160" s="219"/>
      <c r="D160" s="219"/>
      <c r="E160" s="219"/>
      <c r="F160" s="219"/>
      <c r="G160" s="219"/>
      <c r="H160" s="219"/>
      <c r="I160" s="219"/>
      <c r="J160" s="219"/>
    </row>
    <row r="161" spans="1:10">
      <c r="A161" s="120"/>
      <c r="B161" s="219"/>
      <c r="C161" s="219"/>
      <c r="D161" s="219"/>
      <c r="E161" s="219"/>
      <c r="F161" s="219"/>
      <c r="G161" s="219"/>
      <c r="H161" s="219"/>
      <c r="I161" s="219"/>
      <c r="J161" s="219"/>
    </row>
    <row r="162" spans="1:10">
      <c r="A162" s="120"/>
      <c r="B162" s="219"/>
      <c r="C162" s="219"/>
      <c r="D162" s="219"/>
      <c r="E162" s="219"/>
      <c r="F162" s="219"/>
      <c r="G162" s="219"/>
      <c r="H162" s="219"/>
      <c r="I162" s="219"/>
      <c r="J162" s="219"/>
    </row>
    <row r="163" spans="1:10">
      <c r="A163" s="120"/>
      <c r="B163" s="219"/>
      <c r="C163" s="219"/>
      <c r="D163" s="219"/>
      <c r="E163" s="219"/>
      <c r="F163" s="219"/>
      <c r="G163" s="219"/>
      <c r="H163" s="219"/>
      <c r="I163" s="219"/>
      <c r="J163" s="219"/>
    </row>
    <row r="164" spans="1:10">
      <c r="A164" s="120"/>
      <c r="B164" s="219"/>
      <c r="C164" s="219"/>
      <c r="D164" s="219"/>
      <c r="E164" s="219"/>
      <c r="F164" s="219"/>
      <c r="G164" s="219"/>
      <c r="H164" s="219"/>
      <c r="I164" s="219"/>
      <c r="J164" s="219"/>
    </row>
    <row r="165" spans="1:10">
      <c r="A165" s="120"/>
      <c r="B165" s="219"/>
      <c r="C165" s="219"/>
      <c r="D165" s="219"/>
      <c r="E165" s="219"/>
      <c r="F165" s="219"/>
      <c r="G165" s="219"/>
      <c r="H165" s="219"/>
      <c r="I165" s="219"/>
      <c r="J165" s="219"/>
    </row>
    <row r="166" spans="1:10">
      <c r="A166" s="120"/>
      <c r="B166" s="219"/>
      <c r="C166" s="219"/>
      <c r="D166" s="219"/>
      <c r="E166" s="219"/>
      <c r="F166" s="219"/>
      <c r="G166" s="219"/>
      <c r="H166" s="219"/>
      <c r="I166" s="219"/>
      <c r="J166" s="219"/>
    </row>
    <row r="167" spans="1:10">
      <c r="A167" s="120"/>
      <c r="B167" s="219"/>
      <c r="C167" s="219"/>
      <c r="D167" s="219"/>
      <c r="E167" s="219"/>
      <c r="F167" s="219"/>
      <c r="G167" s="219"/>
      <c r="H167" s="219"/>
      <c r="I167" s="219"/>
      <c r="J167" s="219"/>
    </row>
    <row r="168" spans="1:10">
      <c r="A168" s="120"/>
      <c r="B168" s="219"/>
      <c r="C168" s="219"/>
      <c r="D168" s="219"/>
      <c r="E168" s="219"/>
      <c r="F168" s="219"/>
      <c r="G168" s="219"/>
      <c r="H168" s="219"/>
      <c r="I168" s="219"/>
      <c r="J168" s="219"/>
    </row>
    <row r="169" spans="1:10">
      <c r="A169" s="120"/>
      <c r="B169" s="219"/>
      <c r="C169" s="219"/>
      <c r="D169" s="219"/>
      <c r="E169" s="219"/>
      <c r="F169" s="219"/>
      <c r="G169" s="219"/>
      <c r="H169" s="219"/>
      <c r="I169" s="219"/>
      <c r="J169" s="219"/>
    </row>
    <row r="170" spans="1:10">
      <c r="A170" s="120"/>
      <c r="B170" s="219"/>
      <c r="C170" s="219"/>
      <c r="D170" s="219"/>
      <c r="E170" s="219"/>
      <c r="F170" s="219"/>
      <c r="G170" s="219"/>
      <c r="H170" s="219"/>
      <c r="I170" s="219"/>
      <c r="J170" s="219"/>
    </row>
    <row r="171" spans="1:10">
      <c r="A171" s="120"/>
      <c r="B171" s="219"/>
      <c r="C171" s="219"/>
      <c r="D171" s="219"/>
      <c r="E171" s="219"/>
      <c r="F171" s="219"/>
      <c r="G171" s="219"/>
      <c r="H171" s="219"/>
      <c r="I171" s="219"/>
      <c r="J171" s="219"/>
    </row>
    <row r="172" spans="1:10">
      <c r="A172" s="120"/>
      <c r="B172" s="219"/>
      <c r="C172" s="219"/>
      <c r="D172" s="219"/>
      <c r="E172" s="219"/>
      <c r="F172" s="219"/>
      <c r="G172" s="219"/>
      <c r="H172" s="219"/>
      <c r="I172" s="219"/>
      <c r="J172" s="219"/>
    </row>
    <row r="173" spans="1:10">
      <c r="A173" s="120"/>
      <c r="B173" s="219"/>
      <c r="C173" s="219"/>
      <c r="D173" s="219"/>
      <c r="E173" s="219"/>
      <c r="F173" s="219"/>
      <c r="G173" s="219"/>
      <c r="H173" s="219"/>
      <c r="I173" s="219"/>
      <c r="J173" s="219"/>
    </row>
    <row r="174" spans="1:10">
      <c r="A174" s="120"/>
      <c r="B174" s="219"/>
      <c r="C174" s="219"/>
      <c r="D174" s="219"/>
      <c r="E174" s="219"/>
      <c r="F174" s="219"/>
      <c r="G174" s="219"/>
      <c r="H174" s="219"/>
      <c r="I174" s="219"/>
      <c r="J174" s="219"/>
    </row>
    <row r="175" spans="1:10">
      <c r="A175" s="120"/>
      <c r="B175" s="219"/>
      <c r="C175" s="219"/>
      <c r="D175" s="219"/>
      <c r="E175" s="219"/>
      <c r="F175" s="219"/>
      <c r="G175" s="219"/>
      <c r="H175" s="219"/>
      <c r="I175" s="219"/>
      <c r="J175" s="219"/>
    </row>
    <row r="176" spans="1:10">
      <c r="A176" s="120"/>
      <c r="B176" s="219"/>
      <c r="C176" s="219"/>
      <c r="D176" s="219"/>
      <c r="E176" s="219"/>
      <c r="F176" s="219"/>
      <c r="G176" s="219"/>
      <c r="H176" s="219"/>
      <c r="I176" s="219"/>
      <c r="J176" s="219"/>
    </row>
    <row r="177" spans="1:10">
      <c r="A177" s="120"/>
      <c r="B177" s="219"/>
      <c r="C177" s="219"/>
      <c r="D177" s="219"/>
      <c r="E177" s="219"/>
      <c r="F177" s="219"/>
      <c r="G177" s="219"/>
      <c r="H177" s="219"/>
      <c r="I177" s="219"/>
      <c r="J177" s="219"/>
    </row>
    <row r="178" spans="1:10">
      <c r="A178" s="120"/>
      <c r="B178" s="219"/>
      <c r="C178" s="219"/>
      <c r="D178" s="219"/>
      <c r="E178" s="219"/>
      <c r="F178" s="219"/>
      <c r="G178" s="219"/>
      <c r="H178" s="219"/>
      <c r="I178" s="219"/>
      <c r="J178" s="219"/>
    </row>
    <row r="179" spans="1:10">
      <c r="A179" s="120"/>
      <c r="B179" s="219"/>
      <c r="C179" s="219"/>
      <c r="D179" s="219"/>
      <c r="E179" s="219"/>
      <c r="F179" s="219"/>
      <c r="G179" s="219"/>
      <c r="H179" s="219"/>
      <c r="I179" s="219"/>
      <c r="J179" s="219"/>
    </row>
    <row r="180" spans="1:10">
      <c r="A180" s="120"/>
      <c r="B180" s="219"/>
      <c r="C180" s="219"/>
      <c r="D180" s="219"/>
      <c r="E180" s="219"/>
      <c r="F180" s="219"/>
      <c r="G180" s="219"/>
      <c r="H180" s="219"/>
      <c r="I180" s="219"/>
      <c r="J180" s="219"/>
    </row>
    <row r="181" spans="1:10">
      <c r="A181" s="120"/>
      <c r="B181" s="219"/>
      <c r="C181" s="219"/>
      <c r="D181" s="219"/>
      <c r="E181" s="219"/>
      <c r="F181" s="219"/>
      <c r="G181" s="219"/>
      <c r="H181" s="219"/>
      <c r="I181" s="219"/>
      <c r="J181" s="219"/>
    </row>
    <row r="182" spans="1:10">
      <c r="A182" s="120"/>
      <c r="B182" s="219"/>
      <c r="C182" s="219"/>
      <c r="D182" s="219"/>
      <c r="E182" s="219"/>
      <c r="F182" s="219"/>
      <c r="G182" s="219"/>
      <c r="H182" s="219"/>
      <c r="I182" s="219"/>
      <c r="J182" s="219"/>
    </row>
    <row r="183" spans="1:10">
      <c r="A183" s="120"/>
      <c r="B183" s="219"/>
      <c r="C183" s="219"/>
      <c r="D183" s="219"/>
      <c r="E183" s="219"/>
      <c r="F183" s="219"/>
      <c r="G183" s="219"/>
      <c r="H183" s="219"/>
      <c r="I183" s="219"/>
      <c r="J183" s="219"/>
    </row>
    <row r="184" spans="1:10">
      <c r="A184" s="120"/>
      <c r="B184" s="219"/>
      <c r="C184" s="219"/>
      <c r="D184" s="219"/>
      <c r="E184" s="219"/>
      <c r="F184" s="219"/>
      <c r="G184" s="219"/>
      <c r="H184" s="219"/>
      <c r="I184" s="219"/>
      <c r="J184" s="219"/>
    </row>
    <row r="185" spans="1:10">
      <c r="A185" s="120"/>
      <c r="B185" s="219"/>
      <c r="C185" s="219"/>
      <c r="D185" s="219"/>
      <c r="E185" s="219"/>
      <c r="F185" s="219"/>
      <c r="G185" s="219"/>
      <c r="H185" s="219"/>
      <c r="I185" s="219"/>
      <c r="J185" s="219"/>
    </row>
    <row r="186" spans="1:10">
      <c r="A186" s="120"/>
      <c r="B186" s="219"/>
      <c r="C186" s="219"/>
      <c r="D186" s="219"/>
      <c r="E186" s="219"/>
      <c r="F186" s="219"/>
      <c r="G186" s="219"/>
      <c r="H186" s="219"/>
      <c r="I186" s="219"/>
      <c r="J186" s="219"/>
    </row>
    <row r="187" spans="1:10">
      <c r="A187" s="120"/>
      <c r="B187" s="219"/>
      <c r="C187" s="219"/>
      <c r="D187" s="219"/>
      <c r="E187" s="219"/>
      <c r="F187" s="219"/>
      <c r="G187" s="219"/>
      <c r="H187" s="219"/>
      <c r="I187" s="219"/>
      <c r="J187" s="219"/>
    </row>
    <row r="188" spans="1:10">
      <c r="A188" s="120"/>
      <c r="B188" s="219"/>
      <c r="C188" s="219"/>
      <c r="D188" s="219"/>
      <c r="E188" s="219"/>
      <c r="F188" s="219"/>
      <c r="G188" s="219"/>
      <c r="H188" s="219"/>
      <c r="I188" s="219"/>
      <c r="J188" s="219"/>
    </row>
    <row r="189" spans="1:10">
      <c r="A189" s="120"/>
      <c r="B189" s="219"/>
      <c r="C189" s="219"/>
      <c r="D189" s="219"/>
      <c r="E189" s="219"/>
      <c r="F189" s="219"/>
      <c r="G189" s="219"/>
      <c r="H189" s="219"/>
      <c r="I189" s="219"/>
      <c r="J189" s="219"/>
    </row>
    <row r="190" spans="1:10">
      <c r="A190" s="120"/>
      <c r="B190" s="219"/>
      <c r="C190" s="219"/>
      <c r="D190" s="219"/>
      <c r="E190" s="219"/>
      <c r="F190" s="219"/>
      <c r="G190" s="219"/>
      <c r="H190" s="219"/>
      <c r="I190" s="219"/>
      <c r="J190" s="219"/>
    </row>
    <row r="191" spans="1:10">
      <c r="A191" s="120"/>
      <c r="B191" s="219"/>
      <c r="C191" s="219"/>
      <c r="D191" s="219"/>
      <c r="E191" s="219"/>
      <c r="F191" s="219"/>
      <c r="G191" s="219"/>
      <c r="H191" s="219"/>
      <c r="I191" s="219"/>
      <c r="J191" s="219"/>
    </row>
    <row r="192" spans="1:10">
      <c r="A192" s="120"/>
      <c r="B192" s="219"/>
      <c r="C192" s="219"/>
      <c r="D192" s="219"/>
      <c r="E192" s="219"/>
      <c r="F192" s="219"/>
      <c r="G192" s="219"/>
      <c r="H192" s="219"/>
      <c r="I192" s="219"/>
      <c r="J192" s="219"/>
    </row>
    <row r="193" spans="1:10">
      <c r="A193" s="120"/>
      <c r="B193" s="219"/>
      <c r="C193" s="219"/>
      <c r="D193" s="219"/>
      <c r="E193" s="219"/>
      <c r="F193" s="219"/>
      <c r="G193" s="219"/>
      <c r="H193" s="219"/>
      <c r="I193" s="219"/>
      <c r="J193" s="219"/>
    </row>
    <row r="194" spans="1:10">
      <c r="A194" s="120"/>
      <c r="B194" s="219"/>
      <c r="C194" s="219"/>
      <c r="D194" s="219"/>
      <c r="E194" s="219"/>
      <c r="F194" s="219"/>
      <c r="G194" s="219"/>
      <c r="H194" s="219"/>
      <c r="I194" s="219"/>
      <c r="J194" s="219"/>
    </row>
    <row r="195" spans="1:10">
      <c r="A195" s="120"/>
      <c r="B195" s="219"/>
      <c r="C195" s="219"/>
      <c r="D195" s="219"/>
      <c r="E195" s="219"/>
      <c r="F195" s="219"/>
      <c r="G195" s="219"/>
      <c r="H195" s="219"/>
      <c r="I195" s="219"/>
      <c r="J195" s="219"/>
    </row>
    <row r="196" spans="1:10">
      <c r="A196" s="120"/>
      <c r="B196" s="219"/>
      <c r="C196" s="219"/>
      <c r="D196" s="219"/>
      <c r="E196" s="219"/>
      <c r="F196" s="219"/>
      <c r="G196" s="219"/>
      <c r="H196" s="219"/>
      <c r="I196" s="219"/>
      <c r="J196" s="219"/>
    </row>
    <row r="197" spans="1:10">
      <c r="A197" s="120"/>
      <c r="B197" s="219"/>
      <c r="C197" s="219"/>
      <c r="D197" s="219"/>
      <c r="E197" s="219"/>
      <c r="F197" s="219"/>
      <c r="G197" s="219"/>
      <c r="H197" s="219"/>
      <c r="I197" s="219"/>
      <c r="J197" s="219"/>
    </row>
    <row r="198" spans="1:10">
      <c r="A198" s="120"/>
      <c r="B198" s="219"/>
      <c r="C198" s="219"/>
      <c r="D198" s="219"/>
      <c r="E198" s="219"/>
      <c r="F198" s="219"/>
      <c r="G198" s="219"/>
      <c r="H198" s="219"/>
      <c r="I198" s="219"/>
      <c r="J198" s="219"/>
    </row>
    <row r="199" spans="1:10">
      <c r="A199" s="120"/>
      <c r="B199" s="219"/>
      <c r="C199" s="219"/>
      <c r="D199" s="219"/>
      <c r="E199" s="219"/>
      <c r="F199" s="219"/>
      <c r="G199" s="219"/>
      <c r="H199" s="219"/>
      <c r="I199" s="219"/>
      <c r="J199" s="219"/>
    </row>
    <row r="200" spans="1:10">
      <c r="A200" s="120"/>
      <c r="B200" s="219"/>
      <c r="C200" s="219"/>
      <c r="D200" s="219"/>
      <c r="E200" s="219"/>
      <c r="F200" s="219"/>
      <c r="G200" s="219"/>
      <c r="H200" s="219"/>
      <c r="I200" s="219"/>
      <c r="J200" s="219"/>
    </row>
    <row r="201" spans="1:10">
      <c r="A201" s="120"/>
      <c r="B201" s="219"/>
      <c r="C201" s="219"/>
      <c r="D201" s="219"/>
      <c r="E201" s="219"/>
      <c r="F201" s="219"/>
      <c r="G201" s="219"/>
      <c r="H201" s="219"/>
      <c r="I201" s="219"/>
      <c r="J201" s="219"/>
    </row>
    <row r="202" spans="1:10">
      <c r="A202" s="120"/>
      <c r="B202" s="219"/>
      <c r="C202" s="219"/>
      <c r="D202" s="219"/>
      <c r="E202" s="219"/>
      <c r="F202" s="219"/>
      <c r="G202" s="219"/>
      <c r="H202" s="219"/>
      <c r="I202" s="219"/>
      <c r="J202" s="219"/>
    </row>
    <row r="203" spans="1:10">
      <c r="A203" s="120"/>
      <c r="B203" s="219"/>
      <c r="C203" s="219"/>
      <c r="D203" s="219"/>
      <c r="E203" s="219"/>
      <c r="F203" s="219"/>
      <c r="G203" s="219"/>
      <c r="H203" s="219"/>
      <c r="I203" s="219"/>
      <c r="J203" s="219"/>
    </row>
    <row r="204" spans="1:10">
      <c r="A204" s="120"/>
      <c r="B204" s="219"/>
      <c r="C204" s="219"/>
      <c r="D204" s="219"/>
      <c r="E204" s="219"/>
      <c r="F204" s="219"/>
      <c r="G204" s="219"/>
      <c r="H204" s="219"/>
      <c r="I204" s="219"/>
      <c r="J204" s="219"/>
    </row>
    <row r="205" spans="1:10">
      <c r="A205" s="120"/>
      <c r="B205" s="219"/>
      <c r="C205" s="219"/>
      <c r="D205" s="219"/>
      <c r="E205" s="219"/>
      <c r="F205" s="219"/>
      <c r="G205" s="219"/>
      <c r="H205" s="219"/>
      <c r="I205" s="219"/>
      <c r="J205" s="219"/>
    </row>
    <row r="206" spans="1:10">
      <c r="A206" s="120"/>
      <c r="B206" s="219"/>
      <c r="C206" s="219"/>
      <c r="D206" s="219"/>
      <c r="E206" s="219"/>
      <c r="F206" s="219"/>
      <c r="G206" s="219"/>
      <c r="H206" s="219"/>
      <c r="I206" s="219"/>
      <c r="J206" s="219"/>
    </row>
    <row r="207" spans="1:10">
      <c r="A207" s="120"/>
      <c r="B207" s="219"/>
      <c r="C207" s="219"/>
      <c r="D207" s="219"/>
      <c r="E207" s="219"/>
      <c r="F207" s="219"/>
      <c r="G207" s="219"/>
      <c r="H207" s="219"/>
      <c r="I207" s="219"/>
      <c r="J207" s="219"/>
    </row>
    <row r="208" spans="1:10">
      <c r="A208" s="120"/>
      <c r="B208" s="219"/>
      <c r="C208" s="219"/>
      <c r="D208" s="219"/>
      <c r="E208" s="219"/>
      <c r="F208" s="219"/>
      <c r="G208" s="219"/>
      <c r="H208" s="219"/>
      <c r="I208" s="219"/>
      <c r="J208" s="219"/>
    </row>
    <row r="209" spans="1:10">
      <c r="A209" s="120"/>
      <c r="B209" s="219"/>
      <c r="C209" s="219"/>
      <c r="D209" s="219"/>
      <c r="E209" s="219"/>
      <c r="F209" s="219"/>
      <c r="G209" s="219"/>
      <c r="H209" s="219"/>
      <c r="I209" s="219"/>
      <c r="J209" s="219"/>
    </row>
    <row r="210" spans="1:10">
      <c r="A210" s="120"/>
      <c r="B210" s="219"/>
      <c r="C210" s="219"/>
      <c r="D210" s="219"/>
      <c r="E210" s="219"/>
      <c r="F210" s="219"/>
      <c r="G210" s="219"/>
      <c r="H210" s="219"/>
      <c r="I210" s="219"/>
      <c r="J210" s="219"/>
    </row>
    <row r="211" spans="1:10">
      <c r="A211" s="120"/>
      <c r="B211" s="219"/>
      <c r="C211" s="219"/>
      <c r="D211" s="219"/>
      <c r="E211" s="219"/>
      <c r="F211" s="219"/>
      <c r="G211" s="219"/>
      <c r="H211" s="219"/>
      <c r="I211" s="219"/>
      <c r="J211" s="219"/>
    </row>
    <row r="212" spans="1:10">
      <c r="A212" s="120"/>
      <c r="B212" s="219"/>
      <c r="C212" s="219"/>
      <c r="D212" s="219"/>
      <c r="E212" s="219"/>
      <c r="F212" s="219"/>
      <c r="G212" s="219"/>
      <c r="H212" s="219"/>
      <c r="I212" s="219"/>
      <c r="J212" s="219"/>
    </row>
    <row r="213" spans="1:10">
      <c r="A213" s="120"/>
      <c r="B213" s="219"/>
      <c r="C213" s="219"/>
      <c r="D213" s="219"/>
      <c r="E213" s="219"/>
      <c r="F213" s="219"/>
      <c r="G213" s="219"/>
      <c r="H213" s="219"/>
      <c r="I213" s="219"/>
      <c r="J213" s="219"/>
    </row>
    <row r="214" spans="1:10">
      <c r="A214" s="120"/>
      <c r="B214" s="219"/>
      <c r="C214" s="219"/>
      <c r="D214" s="219"/>
      <c r="E214" s="219"/>
      <c r="F214" s="219"/>
      <c r="G214" s="219"/>
      <c r="H214" s="219"/>
      <c r="I214" s="219"/>
      <c r="J214" s="219"/>
    </row>
    <row r="215" spans="1:10">
      <c r="A215" s="120"/>
      <c r="B215" s="219"/>
      <c r="C215" s="219"/>
      <c r="D215" s="219"/>
      <c r="E215" s="219"/>
      <c r="F215" s="219"/>
      <c r="G215" s="219"/>
      <c r="H215" s="219"/>
      <c r="I215" s="219"/>
      <c r="J215" s="219"/>
    </row>
    <row r="216" spans="1:10">
      <c r="A216" s="120"/>
      <c r="B216" s="219"/>
      <c r="C216" s="219"/>
      <c r="D216" s="219"/>
      <c r="E216" s="219"/>
      <c r="F216" s="219"/>
      <c r="G216" s="219"/>
      <c r="H216" s="219"/>
      <c r="I216" s="219"/>
      <c r="J216" s="219"/>
    </row>
    <row r="217" spans="1:10">
      <c r="A217" s="120"/>
      <c r="B217" s="219"/>
      <c r="C217" s="219"/>
      <c r="D217" s="219"/>
      <c r="E217" s="219"/>
      <c r="F217" s="219"/>
      <c r="G217" s="219"/>
      <c r="H217" s="219"/>
      <c r="I217" s="219"/>
      <c r="J217" s="219"/>
    </row>
    <row r="218" spans="1:10">
      <c r="A218" s="120"/>
      <c r="B218" s="219"/>
      <c r="C218" s="219"/>
      <c r="D218" s="219"/>
      <c r="E218" s="219"/>
      <c r="F218" s="219"/>
      <c r="G218" s="219"/>
      <c r="H218" s="219"/>
      <c r="I218" s="219"/>
      <c r="J218" s="219"/>
    </row>
    <row r="219" spans="1:10">
      <c r="A219" s="120"/>
      <c r="B219" s="219"/>
      <c r="C219" s="219"/>
      <c r="D219" s="219"/>
      <c r="E219" s="219"/>
      <c r="F219" s="219"/>
      <c r="G219" s="219"/>
      <c r="H219" s="219"/>
      <c r="I219" s="219"/>
      <c r="J219" s="219"/>
    </row>
    <row r="220" spans="1:10">
      <c r="A220" s="120"/>
      <c r="B220" s="219"/>
      <c r="C220" s="219"/>
      <c r="D220" s="219"/>
      <c r="E220" s="219"/>
      <c r="F220" s="219"/>
      <c r="G220" s="219"/>
      <c r="H220" s="219"/>
      <c r="I220" s="219"/>
      <c r="J220" s="219"/>
    </row>
    <row r="221" spans="1:10">
      <c r="A221" s="120"/>
      <c r="B221" s="219"/>
      <c r="C221" s="219"/>
      <c r="D221" s="219"/>
      <c r="E221" s="219"/>
      <c r="F221" s="219"/>
      <c r="G221" s="219"/>
      <c r="H221" s="219"/>
      <c r="I221" s="219"/>
      <c r="J221" s="219"/>
    </row>
    <row r="222" spans="1:10">
      <c r="A222" s="120"/>
      <c r="B222" s="219"/>
      <c r="C222" s="219"/>
      <c r="D222" s="219"/>
      <c r="E222" s="219"/>
      <c r="F222" s="219"/>
      <c r="G222" s="219"/>
      <c r="H222" s="219"/>
      <c r="I222" s="219"/>
      <c r="J222" s="219"/>
    </row>
    <row r="223" spans="1:10">
      <c r="A223" s="120"/>
      <c r="B223" s="219"/>
      <c r="C223" s="219"/>
      <c r="D223" s="219"/>
      <c r="E223" s="219"/>
      <c r="F223" s="219"/>
      <c r="G223" s="219"/>
      <c r="H223" s="219"/>
      <c r="I223" s="219"/>
      <c r="J223" s="219"/>
    </row>
    <row r="224" spans="1:10">
      <c r="A224" s="120"/>
      <c r="B224" s="219"/>
      <c r="C224" s="219"/>
      <c r="D224" s="219"/>
      <c r="E224" s="219"/>
      <c r="F224" s="219"/>
      <c r="G224" s="219"/>
      <c r="H224" s="219"/>
      <c r="I224" s="219"/>
      <c r="J224" s="219"/>
    </row>
    <row r="225" spans="1:10">
      <c r="A225" s="120"/>
      <c r="B225" s="219"/>
      <c r="C225" s="219"/>
      <c r="D225" s="219"/>
      <c r="E225" s="219"/>
      <c r="F225" s="219"/>
      <c r="G225" s="219"/>
      <c r="H225" s="219"/>
      <c r="I225" s="219"/>
      <c r="J225" s="219"/>
    </row>
    <row r="226" spans="1:10">
      <c r="A226" s="120"/>
      <c r="B226" s="219"/>
      <c r="C226" s="219"/>
      <c r="D226" s="219"/>
      <c r="E226" s="219"/>
      <c r="F226" s="219"/>
      <c r="G226" s="219"/>
      <c r="H226" s="219"/>
      <c r="I226" s="219"/>
      <c r="J226" s="219"/>
    </row>
    <row r="227" spans="1:10">
      <c r="A227" s="120"/>
      <c r="B227" s="219"/>
      <c r="C227" s="219"/>
      <c r="D227" s="219"/>
      <c r="E227" s="219"/>
      <c r="F227" s="219"/>
      <c r="G227" s="219"/>
      <c r="H227" s="219"/>
      <c r="I227" s="219"/>
      <c r="J227" s="219"/>
    </row>
    <row r="228" spans="1:10">
      <c r="A228" s="120"/>
      <c r="B228" s="219"/>
      <c r="C228" s="219"/>
      <c r="D228" s="219"/>
      <c r="E228" s="219"/>
      <c r="F228" s="219"/>
      <c r="G228" s="219"/>
      <c r="H228" s="219"/>
      <c r="I228" s="219"/>
      <c r="J228" s="219"/>
    </row>
    <row r="229" spans="1:10">
      <c r="A229" s="120"/>
      <c r="B229" s="219"/>
      <c r="C229" s="219"/>
      <c r="D229" s="219"/>
      <c r="E229" s="219"/>
      <c r="F229" s="219"/>
      <c r="G229" s="219"/>
      <c r="H229" s="219"/>
      <c r="I229" s="219"/>
      <c r="J229" s="219"/>
    </row>
    <row r="230" spans="1:10">
      <c r="A230" s="120"/>
      <c r="B230" s="219"/>
      <c r="C230" s="219"/>
      <c r="D230" s="219"/>
      <c r="E230" s="219"/>
      <c r="F230" s="219"/>
      <c r="G230" s="219"/>
      <c r="H230" s="219"/>
      <c r="I230" s="219"/>
      <c r="J230" s="219"/>
    </row>
    <row r="231" spans="1:10">
      <c r="A231" s="120"/>
      <c r="B231" s="219"/>
      <c r="C231" s="219"/>
      <c r="D231" s="219"/>
      <c r="E231" s="219"/>
      <c r="F231" s="219"/>
      <c r="G231" s="219"/>
      <c r="H231" s="219"/>
      <c r="I231" s="219"/>
      <c r="J231" s="219"/>
    </row>
    <row r="232" spans="1:10">
      <c r="A232" s="120"/>
      <c r="B232" s="219"/>
      <c r="C232" s="219"/>
      <c r="D232" s="219"/>
      <c r="E232" s="219"/>
      <c r="F232" s="219"/>
      <c r="G232" s="219"/>
      <c r="H232" s="219"/>
      <c r="I232" s="219"/>
      <c r="J232" s="219"/>
    </row>
    <row r="233" spans="1:10">
      <c r="A233" s="120"/>
      <c r="B233" s="219"/>
      <c r="C233" s="219"/>
      <c r="D233" s="219"/>
      <c r="E233" s="219"/>
      <c r="F233" s="219"/>
      <c r="G233" s="219"/>
      <c r="H233" s="219"/>
      <c r="I233" s="219"/>
      <c r="J233" s="219"/>
    </row>
    <row r="234" spans="1:10">
      <c r="A234" s="120"/>
      <c r="B234" s="219"/>
      <c r="C234" s="219"/>
      <c r="D234" s="219"/>
      <c r="E234" s="219"/>
      <c r="F234" s="219"/>
      <c r="G234" s="219"/>
      <c r="H234" s="219"/>
      <c r="I234" s="219"/>
      <c r="J234" s="219"/>
    </row>
    <row r="235" spans="1:10">
      <c r="A235" s="120"/>
      <c r="B235" s="219"/>
      <c r="C235" s="219"/>
      <c r="D235" s="219"/>
      <c r="E235" s="219"/>
      <c r="F235" s="219"/>
      <c r="G235" s="219"/>
      <c r="H235" s="219"/>
      <c r="I235" s="219"/>
      <c r="J235" s="219"/>
    </row>
    <row r="236" spans="1:10">
      <c r="A236" s="120"/>
      <c r="B236" s="219"/>
      <c r="C236" s="219"/>
      <c r="D236" s="219"/>
      <c r="E236" s="219"/>
      <c r="F236" s="219"/>
      <c r="G236" s="219"/>
      <c r="H236" s="219"/>
      <c r="I236" s="219"/>
      <c r="J236" s="219"/>
    </row>
    <row r="237" spans="1:10">
      <c r="A237" s="120"/>
      <c r="B237" s="219"/>
      <c r="C237" s="219"/>
      <c r="D237" s="219"/>
      <c r="E237" s="219"/>
      <c r="F237" s="219"/>
      <c r="G237" s="219"/>
      <c r="H237" s="219"/>
      <c r="I237" s="219"/>
      <c r="J237" s="219"/>
    </row>
    <row r="238" spans="1:10">
      <c r="A238" s="120"/>
      <c r="B238" s="219"/>
      <c r="C238" s="219"/>
      <c r="D238" s="219"/>
      <c r="E238" s="219"/>
      <c r="F238" s="219"/>
      <c r="G238" s="219"/>
      <c r="H238" s="219"/>
      <c r="I238" s="219"/>
      <c r="J238" s="219"/>
    </row>
    <row r="239" spans="1:10">
      <c r="A239" s="120"/>
      <c r="B239" s="219"/>
      <c r="C239" s="219"/>
      <c r="D239" s="219"/>
      <c r="E239" s="219"/>
      <c r="F239" s="219"/>
      <c r="G239" s="219"/>
      <c r="H239" s="219"/>
      <c r="I239" s="219"/>
      <c r="J239" s="219"/>
    </row>
    <row r="240" spans="1:10">
      <c r="A240" s="120"/>
      <c r="B240" s="219"/>
      <c r="C240" s="219"/>
      <c r="D240" s="219"/>
      <c r="E240" s="219"/>
      <c r="F240" s="219"/>
      <c r="G240" s="219"/>
      <c r="H240" s="219"/>
      <c r="I240" s="219"/>
      <c r="J240" s="219"/>
    </row>
    <row r="241" spans="1:10">
      <c r="A241" s="120"/>
      <c r="B241" s="219"/>
      <c r="C241" s="219"/>
      <c r="D241" s="219"/>
      <c r="E241" s="219"/>
      <c r="F241" s="219"/>
      <c r="G241" s="219"/>
      <c r="H241" s="219"/>
      <c r="I241" s="219"/>
      <c r="J241" s="219"/>
    </row>
    <row r="242" spans="1:10">
      <c r="A242" s="120"/>
      <c r="B242" s="219"/>
      <c r="C242" s="219"/>
      <c r="D242" s="219"/>
      <c r="E242" s="219"/>
      <c r="F242" s="219"/>
      <c r="G242" s="219"/>
      <c r="H242" s="219"/>
      <c r="I242" s="219"/>
      <c r="J242" s="219"/>
    </row>
    <row r="243" spans="1:10">
      <c r="A243" s="120"/>
      <c r="B243" s="219"/>
      <c r="C243" s="219"/>
      <c r="D243" s="219"/>
      <c r="E243" s="219"/>
      <c r="F243" s="219"/>
      <c r="G243" s="219"/>
      <c r="H243" s="219"/>
      <c r="I243" s="219"/>
      <c r="J243" s="219"/>
    </row>
    <row r="244" spans="1:10">
      <c r="A244" s="120"/>
      <c r="B244" s="219"/>
      <c r="C244" s="219"/>
      <c r="D244" s="219"/>
      <c r="E244" s="219"/>
      <c r="F244" s="219"/>
      <c r="G244" s="219"/>
      <c r="H244" s="219"/>
      <c r="I244" s="219"/>
      <c r="J244" s="219"/>
    </row>
    <row r="245" spans="1:10">
      <c r="A245" s="120"/>
      <c r="B245" s="219"/>
      <c r="C245" s="219"/>
      <c r="D245" s="219"/>
      <c r="E245" s="219"/>
      <c r="F245" s="219"/>
      <c r="G245" s="219"/>
      <c r="H245" s="219"/>
      <c r="I245" s="219"/>
      <c r="J245" s="219"/>
    </row>
    <row r="246" spans="1:10">
      <c r="A246" s="120"/>
      <c r="B246" s="219"/>
      <c r="C246" s="219"/>
      <c r="D246" s="219"/>
      <c r="E246" s="219"/>
      <c r="F246" s="219"/>
      <c r="G246" s="219"/>
      <c r="H246" s="219"/>
      <c r="I246" s="219"/>
      <c r="J246" s="219"/>
    </row>
    <row r="247" spans="1:10">
      <c r="A247" s="120"/>
      <c r="B247" s="219"/>
      <c r="C247" s="219"/>
      <c r="D247" s="219"/>
      <c r="E247" s="219"/>
      <c r="F247" s="219"/>
      <c r="G247" s="219"/>
      <c r="H247" s="219"/>
      <c r="I247" s="219"/>
      <c r="J247" s="219"/>
    </row>
    <row r="248" spans="1:10">
      <c r="A248" s="120"/>
      <c r="B248" s="219"/>
      <c r="C248" s="219"/>
      <c r="D248" s="219"/>
      <c r="E248" s="219"/>
      <c r="F248" s="219"/>
      <c r="G248" s="219"/>
      <c r="H248" s="219"/>
      <c r="I248" s="219"/>
      <c r="J248" s="219"/>
    </row>
    <row r="249" spans="1:10">
      <c r="A249" s="120"/>
      <c r="B249" s="219"/>
      <c r="C249" s="219"/>
      <c r="D249" s="219"/>
      <c r="E249" s="219"/>
      <c r="F249" s="219"/>
      <c r="G249" s="219"/>
      <c r="H249" s="219"/>
      <c r="I249" s="219"/>
      <c r="J249" s="219"/>
    </row>
    <row r="250" spans="1:10">
      <c r="A250" s="120"/>
      <c r="B250" s="219"/>
      <c r="C250" s="219"/>
      <c r="D250" s="219"/>
      <c r="E250" s="219"/>
      <c r="F250" s="219"/>
      <c r="G250" s="219"/>
      <c r="H250" s="219"/>
      <c r="I250" s="219"/>
      <c r="J250" s="219"/>
    </row>
    <row r="251" spans="1:10">
      <c r="A251" s="120"/>
      <c r="B251" s="219"/>
      <c r="C251" s="219"/>
      <c r="D251" s="219"/>
      <c r="E251" s="219"/>
      <c r="F251" s="219"/>
      <c r="G251" s="219"/>
      <c r="H251" s="219"/>
      <c r="I251" s="219"/>
      <c r="J251" s="219"/>
    </row>
    <row r="252" spans="1:10">
      <c r="A252" s="120"/>
      <c r="B252" s="219"/>
      <c r="C252" s="219"/>
      <c r="D252" s="219"/>
      <c r="E252" s="219"/>
      <c r="F252" s="219"/>
      <c r="G252" s="219"/>
      <c r="H252" s="219"/>
      <c r="I252" s="219"/>
      <c r="J252" s="219"/>
    </row>
    <row r="253" spans="1:10">
      <c r="A253" s="120"/>
      <c r="B253" s="219"/>
      <c r="C253" s="219"/>
      <c r="D253" s="219"/>
      <c r="E253" s="219"/>
      <c r="F253" s="219"/>
      <c r="G253" s="219"/>
      <c r="H253" s="219"/>
      <c r="I253" s="219"/>
      <c r="J253" s="219"/>
    </row>
    <row r="254" spans="1:10">
      <c r="A254" s="120"/>
      <c r="B254" s="219"/>
      <c r="C254" s="219"/>
      <c r="D254" s="219"/>
      <c r="E254" s="219"/>
      <c r="F254" s="219"/>
      <c r="G254" s="219"/>
      <c r="H254" s="219"/>
      <c r="I254" s="219"/>
      <c r="J254" s="219"/>
    </row>
    <row r="255" spans="1:10">
      <c r="A255" s="120"/>
      <c r="B255" s="219"/>
      <c r="C255" s="219"/>
      <c r="D255" s="219"/>
      <c r="E255" s="219"/>
      <c r="F255" s="219"/>
      <c r="G255" s="219"/>
      <c r="H255" s="219"/>
      <c r="I255" s="219"/>
      <c r="J255" s="219"/>
    </row>
    <row r="256" spans="1:10">
      <c r="A256" s="120"/>
      <c r="B256" s="219"/>
      <c r="C256" s="219"/>
      <c r="D256" s="219"/>
      <c r="E256" s="219"/>
      <c r="F256" s="219"/>
      <c r="G256" s="219"/>
      <c r="H256" s="219"/>
      <c r="I256" s="219"/>
      <c r="J256" s="219"/>
    </row>
    <row r="257" spans="1:10">
      <c r="A257" s="120"/>
      <c r="B257" s="219"/>
      <c r="C257" s="219"/>
      <c r="D257" s="219"/>
      <c r="E257" s="219"/>
      <c r="F257" s="219"/>
      <c r="G257" s="219"/>
      <c r="H257" s="219"/>
      <c r="I257" s="219"/>
      <c r="J257" s="219"/>
    </row>
    <row r="258" spans="1:10">
      <c r="A258" s="120"/>
      <c r="B258" s="219"/>
      <c r="C258" s="219"/>
      <c r="D258" s="219"/>
      <c r="E258" s="219"/>
      <c r="F258" s="219"/>
      <c r="G258" s="219"/>
      <c r="H258" s="219"/>
      <c r="I258" s="219"/>
      <c r="J258" s="219"/>
    </row>
    <row r="259" spans="1:10">
      <c r="A259" s="120"/>
      <c r="B259" s="219"/>
      <c r="C259" s="219"/>
      <c r="D259" s="219"/>
      <c r="E259" s="219"/>
      <c r="F259" s="219"/>
      <c r="G259" s="219"/>
      <c r="H259" s="219"/>
      <c r="I259" s="219"/>
      <c r="J259" s="219"/>
    </row>
    <row r="260" spans="1:10">
      <c r="A260" s="120"/>
      <c r="B260" s="219"/>
      <c r="C260" s="219"/>
      <c r="D260" s="219"/>
      <c r="E260" s="219"/>
      <c r="F260" s="219"/>
      <c r="G260" s="219"/>
      <c r="H260" s="219"/>
      <c r="I260" s="219"/>
      <c r="J260" s="219"/>
    </row>
    <row r="261" spans="1:10">
      <c r="A261" s="120"/>
      <c r="B261" s="219"/>
      <c r="C261" s="219"/>
      <c r="D261" s="219"/>
      <c r="E261" s="219"/>
      <c r="F261" s="219"/>
      <c r="G261" s="219"/>
      <c r="H261" s="219"/>
      <c r="I261" s="219"/>
      <c r="J261" s="219"/>
    </row>
    <row r="262" spans="1:10">
      <c r="A262" s="120"/>
      <c r="B262" s="219"/>
      <c r="C262" s="219"/>
      <c r="D262" s="219"/>
      <c r="E262" s="219"/>
      <c r="F262" s="219"/>
      <c r="G262" s="219"/>
      <c r="H262" s="219"/>
      <c r="I262" s="219"/>
      <c r="J262" s="219"/>
    </row>
    <row r="263" spans="1:10">
      <c r="A263" s="120"/>
      <c r="B263" s="219"/>
      <c r="C263" s="219"/>
      <c r="D263" s="219"/>
      <c r="E263" s="219"/>
      <c r="F263" s="219"/>
      <c r="G263" s="219"/>
      <c r="H263" s="219"/>
      <c r="I263" s="219"/>
      <c r="J263" s="219"/>
    </row>
    <row r="264" spans="1:10">
      <c r="A264" s="120"/>
      <c r="B264" s="219"/>
      <c r="C264" s="219"/>
      <c r="D264" s="219"/>
      <c r="E264" s="219"/>
      <c r="F264" s="219"/>
      <c r="G264" s="219"/>
      <c r="H264" s="219"/>
      <c r="I264" s="219"/>
      <c r="J264" s="219"/>
    </row>
    <row r="265" spans="1:10">
      <c r="A265" s="120"/>
      <c r="B265" s="219"/>
      <c r="C265" s="219"/>
      <c r="D265" s="219"/>
      <c r="E265" s="219"/>
      <c r="F265" s="219"/>
      <c r="G265" s="219"/>
      <c r="H265" s="219"/>
      <c r="I265" s="219"/>
      <c r="J265" s="219"/>
    </row>
    <row r="266" spans="1:10">
      <c r="A266" s="120"/>
      <c r="B266" s="219"/>
      <c r="C266" s="219"/>
      <c r="D266" s="219"/>
      <c r="E266" s="219"/>
      <c r="F266" s="219"/>
      <c r="G266" s="219"/>
      <c r="H266" s="219"/>
      <c r="I266" s="219"/>
      <c r="J266" s="219"/>
    </row>
    <row r="267" spans="1:10">
      <c r="A267" s="120"/>
      <c r="B267" s="219"/>
      <c r="C267" s="219"/>
      <c r="D267" s="219"/>
      <c r="E267" s="219"/>
      <c r="F267" s="219"/>
      <c r="G267" s="219"/>
      <c r="H267" s="219"/>
      <c r="I267" s="219"/>
      <c r="J267" s="219"/>
    </row>
    <row r="268" spans="1:10">
      <c r="A268" s="120"/>
      <c r="B268" s="219"/>
      <c r="C268" s="219"/>
      <c r="D268" s="219"/>
      <c r="E268" s="219"/>
      <c r="F268" s="219"/>
      <c r="G268" s="219"/>
      <c r="H268" s="219"/>
      <c r="I268" s="219"/>
      <c r="J268" s="219"/>
    </row>
    <row r="269" spans="1:10">
      <c r="A269" s="120"/>
      <c r="B269" s="219"/>
      <c r="C269" s="219"/>
      <c r="D269" s="219"/>
      <c r="E269" s="219"/>
      <c r="F269" s="219"/>
      <c r="G269" s="219"/>
      <c r="H269" s="219"/>
      <c r="I269" s="219"/>
      <c r="J269" s="219"/>
    </row>
    <row r="270" spans="1:10">
      <c r="A270" s="120"/>
      <c r="B270" s="219"/>
      <c r="C270" s="219"/>
      <c r="D270" s="219"/>
      <c r="E270" s="219"/>
      <c r="F270" s="219"/>
      <c r="G270" s="219"/>
      <c r="H270" s="219"/>
      <c r="I270" s="219"/>
      <c r="J270" s="219"/>
    </row>
    <row r="271" spans="1:10">
      <c r="A271" s="120"/>
      <c r="B271" s="219"/>
      <c r="C271" s="219"/>
      <c r="D271" s="219"/>
      <c r="E271" s="219"/>
      <c r="F271" s="219"/>
      <c r="G271" s="219"/>
      <c r="H271" s="219"/>
      <c r="I271" s="219"/>
      <c r="J271" s="219"/>
    </row>
    <row r="272" spans="1:10">
      <c r="A272" s="120"/>
      <c r="B272" s="219"/>
      <c r="C272" s="219"/>
      <c r="D272" s="219"/>
      <c r="E272" s="219"/>
      <c r="F272" s="219"/>
      <c r="G272" s="219"/>
      <c r="H272" s="219"/>
      <c r="I272" s="219"/>
      <c r="J272" s="219"/>
    </row>
    <row r="273" spans="1:10">
      <c r="A273" s="120"/>
      <c r="B273" s="219"/>
      <c r="C273" s="219"/>
      <c r="D273" s="219"/>
      <c r="E273" s="219"/>
      <c r="F273" s="219"/>
      <c r="G273" s="219"/>
      <c r="H273" s="219"/>
      <c r="I273" s="219"/>
      <c r="J273" s="219"/>
    </row>
    <row r="274" spans="1:10">
      <c r="A274" s="120"/>
      <c r="B274" s="219"/>
      <c r="C274" s="219"/>
      <c r="D274" s="219"/>
      <c r="E274" s="219"/>
      <c r="F274" s="219"/>
      <c r="G274" s="219"/>
      <c r="H274" s="219"/>
      <c r="I274" s="219"/>
      <c r="J274" s="219"/>
    </row>
    <row r="275" spans="1:10">
      <c r="A275" s="120"/>
      <c r="B275" s="219"/>
      <c r="C275" s="219"/>
      <c r="D275" s="219"/>
      <c r="E275" s="219"/>
      <c r="F275" s="219"/>
      <c r="G275" s="219"/>
      <c r="H275" s="219"/>
      <c r="I275" s="219"/>
      <c r="J275" s="219"/>
    </row>
    <row r="276" spans="1:10">
      <c r="A276" s="120"/>
      <c r="B276" s="219"/>
      <c r="C276" s="219"/>
      <c r="D276" s="219"/>
      <c r="E276" s="219"/>
      <c r="F276" s="219"/>
      <c r="G276" s="219"/>
      <c r="H276" s="219"/>
      <c r="I276" s="219"/>
      <c r="J276" s="219"/>
    </row>
    <row r="277" spans="1:10">
      <c r="A277" s="120"/>
      <c r="B277" s="219"/>
      <c r="C277" s="219"/>
      <c r="D277" s="219"/>
      <c r="E277" s="219"/>
      <c r="F277" s="219"/>
      <c r="G277" s="219"/>
      <c r="H277" s="219"/>
      <c r="I277" s="219"/>
      <c r="J277" s="219"/>
    </row>
    <row r="278" spans="1:10">
      <c r="A278" s="120"/>
      <c r="B278" s="219"/>
      <c r="C278" s="219"/>
      <c r="D278" s="219"/>
      <c r="E278" s="219"/>
      <c r="F278" s="219"/>
      <c r="G278" s="219"/>
      <c r="H278" s="219"/>
      <c r="I278" s="219"/>
      <c r="J278" s="219"/>
    </row>
    <row r="279" spans="1:10">
      <c r="A279" s="120"/>
      <c r="B279" s="219"/>
      <c r="C279" s="219"/>
      <c r="D279" s="219"/>
      <c r="E279" s="219"/>
      <c r="F279" s="219"/>
      <c r="G279" s="219"/>
      <c r="H279" s="219"/>
      <c r="I279" s="219"/>
      <c r="J279" s="219"/>
    </row>
    <row r="280" spans="1:10">
      <c r="A280" s="120"/>
      <c r="B280" s="219"/>
      <c r="C280" s="219"/>
      <c r="D280" s="219"/>
      <c r="E280" s="219"/>
      <c r="F280" s="219"/>
      <c r="G280" s="219"/>
      <c r="H280" s="219"/>
      <c r="I280" s="219"/>
      <c r="J280" s="219"/>
    </row>
    <row r="281" spans="1:10">
      <c r="A281" s="120"/>
      <c r="B281" s="219"/>
      <c r="C281" s="219"/>
      <c r="D281" s="219"/>
      <c r="E281" s="219"/>
      <c r="F281" s="219"/>
      <c r="G281" s="219"/>
      <c r="H281" s="219"/>
      <c r="I281" s="219"/>
      <c r="J281" s="219"/>
    </row>
    <row r="282" spans="1:10">
      <c r="A282" s="120"/>
      <c r="B282" s="219"/>
      <c r="C282" s="219"/>
      <c r="D282" s="219"/>
      <c r="E282" s="219"/>
      <c r="F282" s="219"/>
      <c r="G282" s="219"/>
      <c r="H282" s="219"/>
      <c r="I282" s="219"/>
      <c r="J282" s="219"/>
    </row>
    <row r="283" spans="1:10">
      <c r="A283" s="120"/>
      <c r="B283" s="219"/>
      <c r="C283" s="219"/>
      <c r="D283" s="219"/>
      <c r="E283" s="219"/>
      <c r="F283" s="219"/>
      <c r="G283" s="219"/>
      <c r="H283" s="219"/>
      <c r="I283" s="219"/>
      <c r="J283" s="219"/>
    </row>
    <row r="284" spans="1:10">
      <c r="A284" s="120"/>
      <c r="B284" s="219"/>
      <c r="C284" s="219"/>
      <c r="D284" s="219"/>
      <c r="E284" s="219"/>
      <c r="F284" s="219"/>
      <c r="G284" s="219"/>
      <c r="H284" s="219"/>
      <c r="I284" s="219"/>
      <c r="J284" s="219"/>
    </row>
    <row r="285" spans="1:10">
      <c r="A285" s="120"/>
      <c r="B285" s="219"/>
      <c r="C285" s="219"/>
      <c r="D285" s="219"/>
      <c r="E285" s="219"/>
      <c r="F285" s="219"/>
      <c r="G285" s="219"/>
      <c r="H285" s="219"/>
      <c r="I285" s="219"/>
      <c r="J285" s="219"/>
    </row>
    <row r="286" spans="1:10">
      <c r="A286" s="120"/>
      <c r="B286" s="219"/>
      <c r="C286" s="219"/>
      <c r="D286" s="219"/>
      <c r="E286" s="219"/>
      <c r="F286" s="219"/>
      <c r="G286" s="219"/>
      <c r="H286" s="219"/>
      <c r="I286" s="219"/>
      <c r="J286" s="219"/>
    </row>
    <row r="287" spans="1:10">
      <c r="A287" s="120"/>
      <c r="B287" s="219"/>
      <c r="C287" s="219"/>
      <c r="D287" s="219"/>
      <c r="E287" s="219"/>
      <c r="F287" s="219"/>
      <c r="G287" s="219"/>
      <c r="H287" s="219"/>
      <c r="I287" s="219"/>
      <c r="J287" s="219"/>
    </row>
    <row r="288" spans="1:10">
      <c r="A288" s="120"/>
      <c r="B288" s="219"/>
      <c r="C288" s="219"/>
      <c r="D288" s="219"/>
      <c r="E288" s="219"/>
      <c r="F288" s="219"/>
      <c r="G288" s="219"/>
      <c r="H288" s="219"/>
      <c r="I288" s="219"/>
      <c r="J288" s="219"/>
    </row>
    <row r="289" spans="1:10">
      <c r="A289" s="120"/>
      <c r="B289" s="219"/>
      <c r="C289" s="219"/>
      <c r="D289" s="219"/>
      <c r="E289" s="219"/>
      <c r="F289" s="219"/>
      <c r="G289" s="219"/>
      <c r="H289" s="219"/>
      <c r="I289" s="219"/>
      <c r="J289" s="219"/>
    </row>
    <row r="290" spans="1:10">
      <c r="A290" s="120"/>
      <c r="B290" s="219"/>
      <c r="C290" s="219"/>
      <c r="D290" s="219"/>
      <c r="E290" s="219"/>
      <c r="F290" s="219"/>
      <c r="G290" s="219"/>
      <c r="H290" s="219"/>
      <c r="I290" s="219"/>
      <c r="J290" s="219"/>
    </row>
    <row r="291" spans="1:10">
      <c r="A291" s="120"/>
      <c r="B291" s="219"/>
      <c r="C291" s="219"/>
      <c r="D291" s="219"/>
      <c r="E291" s="219"/>
      <c r="F291" s="219"/>
      <c r="G291" s="219"/>
      <c r="H291" s="219"/>
      <c r="I291" s="219"/>
      <c r="J291" s="219"/>
    </row>
    <row r="292" spans="1:10">
      <c r="A292" s="120"/>
      <c r="B292" s="219"/>
      <c r="C292" s="219"/>
      <c r="D292" s="219"/>
      <c r="E292" s="219"/>
      <c r="F292" s="219"/>
      <c r="G292" s="219"/>
      <c r="H292" s="219"/>
      <c r="I292" s="219"/>
      <c r="J292" s="219"/>
    </row>
    <row r="293" spans="1:10">
      <c r="A293" s="120"/>
      <c r="B293" s="219"/>
      <c r="C293" s="219"/>
      <c r="D293" s="219"/>
      <c r="E293" s="219"/>
      <c r="F293" s="219"/>
      <c r="G293" s="219"/>
      <c r="H293" s="219"/>
      <c r="I293" s="219"/>
      <c r="J293" s="219"/>
    </row>
    <row r="294" spans="1:10">
      <c r="A294" s="120"/>
      <c r="B294" s="219"/>
      <c r="C294" s="219"/>
      <c r="D294" s="219"/>
      <c r="E294" s="219"/>
      <c r="F294" s="219"/>
      <c r="G294" s="219"/>
      <c r="H294" s="219"/>
      <c r="I294" s="219"/>
      <c r="J294" s="219"/>
    </row>
    <row r="295" spans="1:10">
      <c r="A295" s="120"/>
      <c r="B295" s="219"/>
      <c r="C295" s="219"/>
      <c r="D295" s="219"/>
      <c r="E295" s="219"/>
      <c r="F295" s="219"/>
      <c r="G295" s="219"/>
      <c r="H295" s="219"/>
      <c r="I295" s="219"/>
      <c r="J295" s="219"/>
    </row>
    <row r="296" spans="1:10">
      <c r="A296" s="120"/>
      <c r="B296" s="219"/>
      <c r="C296" s="219"/>
      <c r="D296" s="219"/>
      <c r="E296" s="219"/>
      <c r="F296" s="219"/>
      <c r="G296" s="219"/>
      <c r="H296" s="219"/>
      <c r="I296" s="219"/>
      <c r="J296" s="219"/>
    </row>
    <row r="297" spans="1:10">
      <c r="A297" s="120"/>
      <c r="B297" s="219"/>
      <c r="C297" s="219"/>
      <c r="D297" s="219"/>
      <c r="E297" s="219"/>
      <c r="F297" s="219"/>
      <c r="G297" s="219"/>
      <c r="H297" s="219"/>
      <c r="I297" s="219"/>
      <c r="J297" s="219"/>
    </row>
    <row r="298" spans="1:10">
      <c r="A298" s="120"/>
      <c r="B298" s="219"/>
      <c r="C298" s="219"/>
      <c r="D298" s="219"/>
      <c r="E298" s="219"/>
      <c r="F298" s="219"/>
      <c r="G298" s="219"/>
      <c r="H298" s="219"/>
      <c r="I298" s="219"/>
      <c r="J298" s="219"/>
    </row>
    <row r="299" spans="1:10">
      <c r="A299" s="120"/>
      <c r="B299" s="219"/>
      <c r="C299" s="219"/>
      <c r="D299" s="219"/>
      <c r="E299" s="219"/>
      <c r="F299" s="219"/>
      <c r="G299" s="219"/>
      <c r="H299" s="219"/>
      <c r="I299" s="219"/>
      <c r="J299" s="219"/>
    </row>
    <row r="300" spans="1:10">
      <c r="A300" s="120"/>
      <c r="B300" s="219"/>
      <c r="C300" s="219"/>
      <c r="D300" s="219"/>
      <c r="E300" s="219"/>
      <c r="F300" s="219"/>
      <c r="G300" s="219"/>
      <c r="H300" s="219"/>
      <c r="I300" s="219"/>
      <c r="J300" s="219"/>
    </row>
    <row r="301" spans="1:10">
      <c r="A301" s="120"/>
      <c r="B301" s="219"/>
      <c r="C301" s="219"/>
      <c r="D301" s="219"/>
      <c r="E301" s="219"/>
      <c r="F301" s="219"/>
      <c r="G301" s="219"/>
      <c r="H301" s="219"/>
      <c r="I301" s="219"/>
      <c r="J301" s="219"/>
    </row>
    <row r="302" spans="1:10">
      <c r="A302" s="120"/>
      <c r="B302" s="219"/>
      <c r="C302" s="219"/>
      <c r="D302" s="219"/>
      <c r="E302" s="219"/>
      <c r="F302" s="219"/>
      <c r="G302" s="219"/>
      <c r="H302" s="219"/>
      <c r="I302" s="219"/>
      <c r="J302" s="219"/>
    </row>
    <row r="303" spans="1:10">
      <c r="A303" s="120"/>
      <c r="B303" s="219"/>
      <c r="C303" s="219"/>
      <c r="D303" s="219"/>
      <c r="E303" s="219"/>
      <c r="F303" s="219"/>
      <c r="G303" s="219"/>
      <c r="H303" s="219"/>
      <c r="I303" s="219"/>
      <c r="J303" s="219"/>
    </row>
    <row r="304" spans="1:10">
      <c r="A304" s="120"/>
      <c r="B304" s="219"/>
      <c r="C304" s="219"/>
      <c r="D304" s="219"/>
      <c r="E304" s="219"/>
      <c r="F304" s="219"/>
      <c r="G304" s="219"/>
      <c r="H304" s="219"/>
      <c r="I304" s="219"/>
      <c r="J304" s="219"/>
    </row>
    <row r="305" spans="1:10">
      <c r="A305" s="120"/>
      <c r="B305" s="219"/>
      <c r="C305" s="219"/>
      <c r="D305" s="219"/>
      <c r="E305" s="219"/>
      <c r="F305" s="219"/>
      <c r="G305" s="219"/>
      <c r="H305" s="219"/>
      <c r="I305" s="219"/>
      <c r="J305" s="219"/>
    </row>
    <row r="306" spans="1:10">
      <c r="A306" s="120"/>
      <c r="B306" s="219"/>
      <c r="C306" s="219"/>
      <c r="D306" s="219"/>
      <c r="E306" s="219"/>
      <c r="F306" s="219"/>
      <c r="G306" s="219"/>
      <c r="H306" s="219"/>
      <c r="I306" s="219"/>
      <c r="J306" s="219"/>
    </row>
    <row r="307" spans="1:10">
      <c r="A307" s="120"/>
      <c r="B307" s="219"/>
      <c r="C307" s="219"/>
      <c r="D307" s="219"/>
      <c r="E307" s="219"/>
      <c r="F307" s="219"/>
      <c r="G307" s="219"/>
      <c r="H307" s="219"/>
      <c r="I307" s="219"/>
      <c r="J307" s="219"/>
    </row>
    <row r="308" spans="1:10">
      <c r="A308" s="120"/>
      <c r="B308" s="219"/>
      <c r="C308" s="219"/>
      <c r="D308" s="219"/>
      <c r="E308" s="219"/>
      <c r="F308" s="219"/>
      <c r="G308" s="219"/>
      <c r="H308" s="219"/>
      <c r="I308" s="219"/>
      <c r="J308" s="219"/>
    </row>
    <row r="309" spans="1:10">
      <c r="A309" s="120"/>
      <c r="B309" s="219"/>
      <c r="C309" s="219"/>
      <c r="D309" s="219"/>
      <c r="E309" s="219"/>
      <c r="F309" s="219"/>
      <c r="G309" s="219"/>
      <c r="H309" s="219"/>
      <c r="I309" s="219"/>
      <c r="J309" s="219"/>
    </row>
    <row r="310" spans="1:10">
      <c r="A310" s="120"/>
      <c r="B310" s="219"/>
      <c r="C310" s="219"/>
      <c r="D310" s="219"/>
      <c r="E310" s="219"/>
      <c r="F310" s="219"/>
      <c r="G310" s="219"/>
      <c r="H310" s="219"/>
      <c r="I310" s="219"/>
      <c r="J310" s="219"/>
    </row>
    <row r="311" spans="1:10">
      <c r="A311" s="120"/>
      <c r="B311" s="219"/>
      <c r="C311" s="219"/>
      <c r="D311" s="219"/>
      <c r="E311" s="219"/>
      <c r="F311" s="219"/>
      <c r="G311" s="219"/>
      <c r="H311" s="219"/>
      <c r="I311" s="219"/>
      <c r="J311" s="219"/>
    </row>
    <row r="312" spans="1:10">
      <c r="A312" s="120"/>
      <c r="B312" s="219"/>
      <c r="C312" s="219"/>
      <c r="D312" s="219"/>
      <c r="E312" s="219"/>
      <c r="F312" s="219"/>
      <c r="G312" s="219"/>
      <c r="H312" s="219"/>
      <c r="I312" s="219"/>
      <c r="J312" s="219"/>
    </row>
    <row r="313" spans="1:10">
      <c r="A313" s="120"/>
      <c r="B313" s="219"/>
      <c r="C313" s="219"/>
      <c r="D313" s="219"/>
      <c r="E313" s="219"/>
      <c r="F313" s="219"/>
      <c r="G313" s="219"/>
      <c r="H313" s="219"/>
      <c r="I313" s="219"/>
      <c r="J313" s="219"/>
    </row>
    <row r="314" spans="1:10">
      <c r="A314" s="120"/>
      <c r="B314" s="219"/>
      <c r="C314" s="219"/>
      <c r="D314" s="219"/>
      <c r="E314" s="219"/>
      <c r="F314" s="219"/>
      <c r="G314" s="219"/>
      <c r="H314" s="219"/>
      <c r="I314" s="219"/>
      <c r="J314" s="219"/>
    </row>
    <row r="315" spans="1:10">
      <c r="A315" s="120"/>
      <c r="B315" s="219"/>
      <c r="C315" s="219"/>
      <c r="D315" s="219"/>
      <c r="E315" s="219"/>
      <c r="F315" s="219"/>
      <c r="G315" s="219"/>
      <c r="H315" s="219"/>
      <c r="I315" s="219"/>
      <c r="J315" s="219"/>
    </row>
    <row r="316" spans="1:10">
      <c r="A316" s="120"/>
      <c r="B316" s="219"/>
      <c r="C316" s="219"/>
      <c r="D316" s="219"/>
      <c r="E316" s="219"/>
      <c r="F316" s="219"/>
      <c r="G316" s="219"/>
      <c r="H316" s="219"/>
      <c r="I316" s="219"/>
      <c r="J316" s="219"/>
    </row>
    <row r="317" spans="1:10">
      <c r="A317" s="120"/>
      <c r="B317" s="219"/>
      <c r="C317" s="219"/>
      <c r="D317" s="219"/>
      <c r="E317" s="219"/>
      <c r="F317" s="219"/>
      <c r="G317" s="219"/>
      <c r="H317" s="219"/>
      <c r="I317" s="219"/>
      <c r="J317" s="219"/>
    </row>
    <row r="318" spans="1:10">
      <c r="A318" s="120"/>
      <c r="B318" s="219"/>
      <c r="C318" s="219"/>
      <c r="D318" s="219"/>
      <c r="E318" s="219"/>
      <c r="F318" s="219"/>
      <c r="G318" s="219"/>
      <c r="H318" s="219"/>
      <c r="I318" s="219"/>
      <c r="J318" s="219"/>
    </row>
    <row r="319" spans="1:10">
      <c r="A319" s="120"/>
      <c r="B319" s="219"/>
      <c r="C319" s="219"/>
      <c r="D319" s="219"/>
      <c r="E319" s="219"/>
      <c r="F319" s="219"/>
      <c r="G319" s="219"/>
      <c r="H319" s="219"/>
      <c r="I319" s="219"/>
      <c r="J319" s="219"/>
    </row>
    <row r="320" spans="1:10">
      <c r="A320" s="120"/>
      <c r="B320" s="219"/>
      <c r="C320" s="219"/>
      <c r="D320" s="219"/>
      <c r="E320" s="219"/>
      <c r="F320" s="219"/>
      <c r="G320" s="219"/>
      <c r="H320" s="219"/>
      <c r="I320" s="219"/>
      <c r="J320" s="219"/>
    </row>
    <row r="321" spans="1:10">
      <c r="A321" s="120"/>
      <c r="B321" s="219"/>
      <c r="C321" s="219"/>
      <c r="D321" s="219"/>
      <c r="E321" s="219"/>
      <c r="F321" s="219"/>
      <c r="G321" s="219"/>
      <c r="H321" s="219"/>
      <c r="I321" s="219"/>
      <c r="J321" s="219"/>
    </row>
    <row r="322" spans="1:10">
      <c r="A322" s="120"/>
      <c r="B322" s="219"/>
      <c r="C322" s="219"/>
      <c r="D322" s="219"/>
      <c r="E322" s="219"/>
      <c r="F322" s="219"/>
      <c r="G322" s="219"/>
      <c r="H322" s="219"/>
      <c r="I322" s="219"/>
      <c r="J322" s="219"/>
    </row>
    <row r="323" spans="1:10">
      <c r="A323" s="120"/>
      <c r="B323" s="219"/>
      <c r="C323" s="219"/>
      <c r="D323" s="219"/>
      <c r="E323" s="219"/>
      <c r="F323" s="219"/>
      <c r="G323" s="219"/>
      <c r="H323" s="219"/>
      <c r="I323" s="219"/>
      <c r="J323" s="219"/>
    </row>
    <row r="324" spans="1:10">
      <c r="A324" s="120"/>
      <c r="B324" s="219"/>
      <c r="C324" s="219"/>
      <c r="D324" s="219"/>
      <c r="E324" s="219"/>
      <c r="F324" s="219"/>
      <c r="G324" s="219"/>
      <c r="H324" s="219"/>
      <c r="I324" s="219"/>
      <c r="J324" s="219"/>
    </row>
    <row r="325" spans="1:10">
      <c r="A325" s="120"/>
      <c r="B325" s="219"/>
      <c r="C325" s="219"/>
      <c r="D325" s="219"/>
      <c r="E325" s="219"/>
      <c r="F325" s="219"/>
      <c r="G325" s="219"/>
      <c r="H325" s="219"/>
      <c r="I325" s="219"/>
      <c r="J325" s="219"/>
    </row>
    <row r="326" spans="1:10">
      <c r="A326" s="120"/>
      <c r="B326" s="219"/>
      <c r="C326" s="219"/>
      <c r="D326" s="219"/>
      <c r="E326" s="219"/>
      <c r="F326" s="219"/>
      <c r="G326" s="219"/>
      <c r="H326" s="219"/>
      <c r="I326" s="219"/>
      <c r="J326" s="219"/>
    </row>
    <row r="327" spans="1:10">
      <c r="A327" s="120"/>
      <c r="B327" s="219"/>
      <c r="C327" s="219"/>
      <c r="D327" s="219"/>
      <c r="E327" s="219"/>
      <c r="F327" s="219"/>
      <c r="G327" s="219"/>
      <c r="H327" s="219"/>
      <c r="I327" s="219"/>
      <c r="J327" s="219"/>
    </row>
    <row r="328" spans="1:10">
      <c r="A328" s="120"/>
      <c r="B328" s="219"/>
      <c r="C328" s="219"/>
      <c r="D328" s="219"/>
      <c r="E328" s="219"/>
      <c r="F328" s="219"/>
      <c r="G328" s="219"/>
      <c r="H328" s="219"/>
      <c r="I328" s="219"/>
      <c r="J328" s="219"/>
    </row>
    <row r="329" spans="1:10">
      <c r="A329" s="120"/>
      <c r="B329" s="219"/>
      <c r="C329" s="219"/>
      <c r="D329" s="219"/>
      <c r="E329" s="219"/>
      <c r="F329" s="219"/>
      <c r="G329" s="219"/>
      <c r="H329" s="219"/>
      <c r="I329" s="219"/>
      <c r="J329" s="219"/>
    </row>
    <row r="330" spans="1:10">
      <c r="A330" s="120"/>
      <c r="B330" s="219"/>
      <c r="C330" s="219"/>
      <c r="D330" s="219"/>
      <c r="E330" s="219"/>
      <c r="F330" s="219"/>
      <c r="G330" s="219"/>
      <c r="H330" s="219"/>
      <c r="I330" s="219"/>
      <c r="J330" s="219"/>
    </row>
    <row r="331" spans="1:10">
      <c r="A331" s="120"/>
      <c r="B331" s="219"/>
      <c r="C331" s="219"/>
      <c r="D331" s="219"/>
      <c r="E331" s="219"/>
      <c r="F331" s="219"/>
      <c r="G331" s="219"/>
      <c r="H331" s="219"/>
      <c r="I331" s="219"/>
      <c r="J331" s="219"/>
    </row>
    <row r="332" spans="1:10">
      <c r="A332" s="120"/>
      <c r="B332" s="219"/>
      <c r="C332" s="219"/>
      <c r="D332" s="219"/>
      <c r="E332" s="219"/>
      <c r="F332" s="219"/>
      <c r="G332" s="219"/>
      <c r="H332" s="219"/>
      <c r="I332" s="219"/>
      <c r="J332" s="219"/>
    </row>
    <row r="333" spans="1:10">
      <c r="A333" s="120"/>
      <c r="B333" s="219"/>
      <c r="C333" s="219"/>
      <c r="D333" s="219"/>
      <c r="E333" s="219"/>
      <c r="F333" s="219"/>
      <c r="G333" s="219"/>
      <c r="H333" s="219"/>
      <c r="I333" s="219"/>
      <c r="J333" s="219"/>
    </row>
    <row r="334" spans="1:10">
      <c r="A334" s="120"/>
      <c r="B334" s="219"/>
      <c r="C334" s="219"/>
      <c r="D334" s="219"/>
      <c r="E334" s="219"/>
      <c r="F334" s="219"/>
      <c r="G334" s="219"/>
      <c r="H334" s="219"/>
      <c r="I334" s="219"/>
      <c r="J334" s="219"/>
    </row>
    <row r="335" spans="1:10">
      <c r="A335" s="120"/>
      <c r="B335" s="219"/>
      <c r="C335" s="219"/>
      <c r="D335" s="219"/>
      <c r="E335" s="219"/>
      <c r="F335" s="219"/>
      <c r="G335" s="219"/>
      <c r="H335" s="219"/>
      <c r="I335" s="219"/>
      <c r="J335" s="219"/>
    </row>
    <row r="336" spans="1:10">
      <c r="A336" s="120"/>
      <c r="B336" s="219"/>
      <c r="C336" s="219"/>
      <c r="D336" s="219"/>
      <c r="E336" s="219"/>
      <c r="F336" s="219"/>
      <c r="G336" s="219"/>
      <c r="H336" s="219"/>
      <c r="I336" s="219"/>
      <c r="J336" s="219"/>
    </row>
    <row r="337" spans="1:10">
      <c r="A337" s="120"/>
      <c r="B337" s="219"/>
      <c r="C337" s="219"/>
      <c r="D337" s="219"/>
      <c r="E337" s="219"/>
      <c r="F337" s="219"/>
      <c r="G337" s="219"/>
      <c r="H337" s="219"/>
      <c r="I337" s="219"/>
      <c r="J337" s="219"/>
    </row>
    <row r="338" spans="1:10">
      <c r="A338" s="120"/>
      <c r="B338" s="219"/>
      <c r="C338" s="219"/>
      <c r="D338" s="219"/>
      <c r="E338" s="219"/>
      <c r="F338" s="219"/>
      <c r="G338" s="219"/>
      <c r="H338" s="219"/>
      <c r="I338" s="219"/>
      <c r="J338" s="219"/>
    </row>
    <row r="339" spans="1:10">
      <c r="A339" s="120"/>
      <c r="B339" s="219"/>
      <c r="C339" s="219"/>
      <c r="D339" s="219"/>
      <c r="E339" s="219"/>
      <c r="F339" s="219"/>
      <c r="G339" s="219"/>
      <c r="H339" s="219"/>
      <c r="I339" s="219"/>
      <c r="J339" s="219"/>
    </row>
    <row r="340" spans="1:10">
      <c r="A340" s="120"/>
      <c r="B340" s="219"/>
      <c r="C340" s="219"/>
      <c r="D340" s="219"/>
      <c r="E340" s="219"/>
      <c r="F340" s="219"/>
      <c r="G340" s="219"/>
      <c r="H340" s="219"/>
      <c r="I340" s="219"/>
      <c r="J340" s="219"/>
    </row>
    <row r="341" spans="1:10">
      <c r="A341" s="120"/>
      <c r="B341" s="219"/>
      <c r="C341" s="219"/>
      <c r="D341" s="219"/>
      <c r="E341" s="219"/>
      <c r="F341" s="219"/>
      <c r="G341" s="219"/>
      <c r="H341" s="219"/>
      <c r="I341" s="219"/>
      <c r="J341" s="219"/>
    </row>
    <row r="342" spans="1:10">
      <c r="A342" s="120"/>
      <c r="B342" s="219"/>
      <c r="C342" s="219"/>
      <c r="D342" s="219"/>
      <c r="E342" s="219"/>
      <c r="F342" s="219"/>
      <c r="G342" s="219"/>
      <c r="H342" s="219"/>
      <c r="I342" s="219"/>
      <c r="J342" s="219"/>
    </row>
    <row r="343" spans="1:10">
      <c r="A343" s="120"/>
      <c r="B343" s="219"/>
      <c r="C343" s="219"/>
      <c r="D343" s="219"/>
      <c r="E343" s="219"/>
      <c r="F343" s="219"/>
      <c r="G343" s="219"/>
      <c r="H343" s="219"/>
      <c r="I343" s="219"/>
      <c r="J343" s="219"/>
    </row>
    <row r="344" spans="1:10">
      <c r="A344" s="120"/>
      <c r="B344" s="219"/>
      <c r="C344" s="219"/>
      <c r="D344" s="219"/>
      <c r="E344" s="219"/>
      <c r="F344" s="219"/>
      <c r="G344" s="219"/>
      <c r="H344" s="219"/>
      <c r="I344" s="219"/>
      <c r="J344" s="219"/>
    </row>
    <row r="345" spans="1:10">
      <c r="A345" s="120"/>
      <c r="B345" s="219"/>
      <c r="C345" s="219"/>
      <c r="D345" s="219"/>
      <c r="E345" s="219"/>
      <c r="F345" s="219"/>
      <c r="G345" s="219"/>
      <c r="H345" s="219"/>
      <c r="I345" s="219"/>
      <c r="J345" s="219"/>
    </row>
    <row r="346" spans="1:10">
      <c r="A346" s="120"/>
      <c r="B346" s="219"/>
      <c r="C346" s="219"/>
      <c r="D346" s="219"/>
      <c r="E346" s="219"/>
      <c r="F346" s="219"/>
      <c r="G346" s="219"/>
      <c r="H346" s="219"/>
      <c r="I346" s="219"/>
      <c r="J346" s="219"/>
    </row>
    <row r="347" spans="1:10">
      <c r="A347" s="120"/>
      <c r="B347" s="219"/>
      <c r="C347" s="219"/>
      <c r="D347" s="219"/>
      <c r="E347" s="219"/>
      <c r="F347" s="219"/>
      <c r="G347" s="219"/>
      <c r="H347" s="219"/>
      <c r="I347" s="219"/>
      <c r="J347" s="219"/>
    </row>
    <row r="348" spans="1:10">
      <c r="A348" s="120"/>
      <c r="B348" s="219"/>
      <c r="C348" s="219"/>
      <c r="D348" s="219"/>
      <c r="E348" s="219"/>
      <c r="F348" s="219"/>
      <c r="G348" s="219"/>
      <c r="H348" s="219"/>
      <c r="I348" s="219"/>
      <c r="J348" s="219"/>
    </row>
    <row r="349" spans="1:10">
      <c r="A349" s="120"/>
      <c r="B349" s="219"/>
      <c r="C349" s="219"/>
      <c r="D349" s="219"/>
      <c r="E349" s="219"/>
      <c r="F349" s="219"/>
      <c r="G349" s="219"/>
      <c r="H349" s="219"/>
      <c r="I349" s="219"/>
      <c r="J349" s="219"/>
    </row>
    <row r="350" spans="1:10">
      <c r="A350" s="120"/>
      <c r="B350" s="219"/>
      <c r="C350" s="219"/>
      <c r="D350" s="219"/>
      <c r="E350" s="219"/>
      <c r="F350" s="219"/>
      <c r="G350" s="219"/>
      <c r="H350" s="219"/>
      <c r="I350" s="219"/>
      <c r="J350" s="219"/>
    </row>
    <row r="351" spans="1:10">
      <c r="A351" s="120"/>
      <c r="B351" s="219"/>
      <c r="C351" s="219"/>
      <c r="D351" s="219"/>
      <c r="E351" s="219"/>
      <c r="F351" s="219"/>
      <c r="G351" s="219"/>
      <c r="H351" s="219"/>
      <c r="I351" s="219"/>
      <c r="J351" s="219"/>
    </row>
    <row r="352" spans="1:10">
      <c r="A352" s="120"/>
      <c r="B352" s="219"/>
      <c r="C352" s="219"/>
      <c r="D352" s="219"/>
      <c r="E352" s="219"/>
      <c r="F352" s="219"/>
      <c r="G352" s="219"/>
      <c r="H352" s="219"/>
      <c r="I352" s="219"/>
      <c r="J352" s="219"/>
    </row>
    <row r="353" spans="1:10">
      <c r="A353" s="120"/>
      <c r="B353" s="219"/>
      <c r="C353" s="219"/>
      <c r="D353" s="219"/>
      <c r="E353" s="219"/>
      <c r="F353" s="219"/>
      <c r="G353" s="219"/>
      <c r="H353" s="219"/>
      <c r="I353" s="219"/>
      <c r="J353" s="219"/>
    </row>
    <row r="354" spans="1:10">
      <c r="A354" s="120"/>
      <c r="B354" s="219"/>
      <c r="C354" s="219"/>
      <c r="D354" s="219"/>
      <c r="E354" s="219"/>
      <c r="F354" s="219"/>
      <c r="G354" s="219"/>
      <c r="H354" s="219"/>
      <c r="I354" s="219"/>
      <c r="J354" s="219"/>
    </row>
    <row r="355" spans="1:10">
      <c r="A355" s="120"/>
      <c r="B355" s="219"/>
      <c r="C355" s="219"/>
      <c r="D355" s="219"/>
      <c r="E355" s="219"/>
      <c r="F355" s="219"/>
      <c r="G355" s="219"/>
      <c r="H355" s="219"/>
      <c r="I355" s="219"/>
      <c r="J355" s="219"/>
    </row>
    <row r="356" spans="1:10">
      <c r="A356" s="120"/>
      <c r="B356" s="219"/>
      <c r="C356" s="219"/>
      <c r="D356" s="219"/>
      <c r="E356" s="219"/>
      <c r="F356" s="219"/>
      <c r="G356" s="219"/>
      <c r="H356" s="219"/>
      <c r="I356" s="219"/>
      <c r="J356" s="219"/>
    </row>
    <row r="357" spans="1:10">
      <c r="A357" s="120"/>
      <c r="B357" s="219"/>
      <c r="C357" s="219"/>
      <c r="D357" s="219"/>
      <c r="E357" s="219"/>
      <c r="F357" s="219"/>
      <c r="G357" s="219"/>
      <c r="H357" s="219"/>
      <c r="I357" s="219"/>
      <c r="J357" s="219"/>
    </row>
    <row r="358" spans="1:10">
      <c r="A358" s="120"/>
      <c r="B358" s="219"/>
      <c r="C358" s="219"/>
      <c r="D358" s="219"/>
      <c r="E358" s="219"/>
      <c r="F358" s="219"/>
      <c r="G358" s="219"/>
      <c r="H358" s="219"/>
      <c r="I358" s="219"/>
      <c r="J358" s="219"/>
    </row>
    <row r="359" spans="1:10">
      <c r="A359" s="120"/>
      <c r="B359" s="219"/>
      <c r="C359" s="219"/>
      <c r="D359" s="219"/>
      <c r="E359" s="219"/>
      <c r="F359" s="219"/>
      <c r="G359" s="219"/>
      <c r="H359" s="219"/>
      <c r="I359" s="219"/>
      <c r="J359" s="219"/>
    </row>
    <row r="360" spans="1:10">
      <c r="A360" s="120"/>
      <c r="B360" s="219"/>
      <c r="C360" s="219"/>
      <c r="D360" s="219"/>
      <c r="E360" s="219"/>
      <c r="F360" s="219"/>
      <c r="G360" s="219"/>
      <c r="H360" s="219"/>
      <c r="I360" s="219"/>
      <c r="J360" s="219"/>
    </row>
    <row r="361" spans="1:10">
      <c r="A361" s="120"/>
      <c r="B361" s="219"/>
      <c r="C361" s="219"/>
      <c r="D361" s="219"/>
      <c r="E361" s="219"/>
      <c r="F361" s="219"/>
      <c r="G361" s="219"/>
      <c r="H361" s="219"/>
      <c r="I361" s="219"/>
      <c r="J361" s="219"/>
    </row>
    <row r="362" spans="1:10">
      <c r="A362" s="120"/>
      <c r="B362" s="219"/>
      <c r="C362" s="219"/>
      <c r="D362" s="219"/>
      <c r="E362" s="219"/>
      <c r="F362" s="219"/>
      <c r="G362" s="219"/>
      <c r="H362" s="219"/>
      <c r="I362" s="219"/>
      <c r="J362" s="219"/>
    </row>
    <row r="363" spans="1:10">
      <c r="A363" s="120"/>
      <c r="B363" s="219"/>
      <c r="C363" s="219"/>
      <c r="D363" s="219"/>
      <c r="E363" s="219"/>
      <c r="F363" s="219"/>
      <c r="G363" s="219"/>
      <c r="H363" s="219"/>
      <c r="I363" s="219"/>
      <c r="J363" s="219"/>
    </row>
    <row r="364" spans="1:10">
      <c r="A364" s="120"/>
      <c r="B364" s="219"/>
      <c r="C364" s="219"/>
      <c r="D364" s="219"/>
      <c r="E364" s="219"/>
      <c r="F364" s="219"/>
      <c r="G364" s="219"/>
      <c r="H364" s="219"/>
      <c r="I364" s="219"/>
      <c r="J364" s="219"/>
    </row>
    <row r="365" spans="1:10">
      <c r="A365" s="120"/>
      <c r="B365" s="219"/>
      <c r="C365" s="219"/>
      <c r="D365" s="219"/>
      <c r="E365" s="219"/>
      <c r="F365" s="219"/>
      <c r="G365" s="219"/>
      <c r="H365" s="219"/>
      <c r="I365" s="219"/>
      <c r="J365" s="219"/>
    </row>
    <row r="366" spans="1:10">
      <c r="A366" s="120"/>
      <c r="B366" s="219"/>
      <c r="C366" s="219"/>
      <c r="D366" s="219"/>
      <c r="E366" s="219"/>
      <c r="F366" s="219"/>
      <c r="G366" s="219"/>
      <c r="H366" s="219"/>
      <c r="I366" s="219"/>
      <c r="J366" s="219"/>
    </row>
    <row r="367" spans="1:10">
      <c r="A367" s="120"/>
      <c r="B367" s="219"/>
      <c r="C367" s="219"/>
      <c r="D367" s="219"/>
      <c r="E367" s="219"/>
      <c r="F367" s="219"/>
      <c r="G367" s="219"/>
      <c r="H367" s="219"/>
      <c r="I367" s="219"/>
      <c r="J367" s="219"/>
    </row>
    <row r="368" spans="1:10">
      <c r="A368" s="120"/>
      <c r="B368" s="219"/>
      <c r="C368" s="219"/>
      <c r="D368" s="219"/>
      <c r="E368" s="219"/>
      <c r="F368" s="219"/>
      <c r="G368" s="219"/>
      <c r="H368" s="219"/>
      <c r="I368" s="219"/>
      <c r="J368" s="219"/>
    </row>
    <row r="369" spans="1:10">
      <c r="A369" s="120"/>
      <c r="B369" s="219"/>
      <c r="C369" s="219"/>
      <c r="D369" s="219"/>
      <c r="E369" s="219"/>
      <c r="F369" s="219"/>
      <c r="G369" s="219"/>
      <c r="H369" s="219"/>
      <c r="I369" s="219"/>
      <c r="J369" s="219"/>
    </row>
    <row r="370" spans="1:10">
      <c r="A370" s="120"/>
      <c r="B370" s="219"/>
      <c r="C370" s="219"/>
      <c r="D370" s="219"/>
      <c r="E370" s="219"/>
      <c r="F370" s="219"/>
      <c r="G370" s="219"/>
      <c r="H370" s="219"/>
      <c r="I370" s="219"/>
      <c r="J370" s="219"/>
    </row>
    <row r="371" spans="1:10">
      <c r="A371" s="120"/>
      <c r="B371" s="219"/>
      <c r="C371" s="219"/>
      <c r="D371" s="219"/>
      <c r="E371" s="219"/>
      <c r="F371" s="219"/>
      <c r="G371" s="219"/>
      <c r="H371" s="219"/>
      <c r="I371" s="219"/>
      <c r="J371" s="219"/>
    </row>
    <row r="372" spans="1:10">
      <c r="A372" s="120"/>
      <c r="B372" s="219"/>
      <c r="C372" s="219"/>
      <c r="D372" s="219"/>
      <c r="E372" s="219"/>
      <c r="F372" s="219"/>
      <c r="G372" s="219"/>
      <c r="H372" s="219"/>
      <c r="I372" s="219"/>
      <c r="J372" s="219"/>
    </row>
    <row r="373" spans="1:10">
      <c r="A373" s="120"/>
      <c r="B373" s="219"/>
      <c r="C373" s="219"/>
      <c r="D373" s="219"/>
      <c r="E373" s="219"/>
      <c r="F373" s="219"/>
      <c r="G373" s="219"/>
      <c r="H373" s="219"/>
      <c r="I373" s="219"/>
      <c r="J373" s="219"/>
    </row>
    <row r="374" spans="1:10">
      <c r="A374" s="120"/>
      <c r="B374" s="219"/>
      <c r="C374" s="219"/>
      <c r="D374" s="219"/>
      <c r="E374" s="219"/>
      <c r="F374" s="219"/>
      <c r="G374" s="219"/>
      <c r="H374" s="219"/>
      <c r="I374" s="219"/>
      <c r="J374" s="219"/>
    </row>
    <row r="375" spans="1:10">
      <c r="A375" s="120"/>
      <c r="B375" s="219"/>
      <c r="C375" s="219"/>
      <c r="D375" s="219"/>
      <c r="E375" s="219"/>
      <c r="F375" s="219"/>
      <c r="G375" s="219"/>
      <c r="H375" s="219"/>
      <c r="I375" s="219"/>
      <c r="J375" s="219"/>
    </row>
    <row r="376" spans="1:10">
      <c r="A376" s="120"/>
      <c r="B376" s="219"/>
      <c r="C376" s="219"/>
      <c r="D376" s="219"/>
      <c r="E376" s="219"/>
      <c r="F376" s="219"/>
      <c r="G376" s="219"/>
      <c r="H376" s="219"/>
      <c r="I376" s="219"/>
      <c r="J376" s="219"/>
    </row>
    <row r="377" spans="1:10">
      <c r="A377" s="120"/>
      <c r="B377" s="219"/>
      <c r="C377" s="219"/>
      <c r="D377" s="219"/>
      <c r="E377" s="219"/>
      <c r="F377" s="219"/>
      <c r="G377" s="219"/>
      <c r="H377" s="219"/>
      <c r="I377" s="219"/>
      <c r="J377" s="219"/>
    </row>
    <row r="378" spans="1:10">
      <c r="A378" s="120"/>
      <c r="B378" s="219"/>
      <c r="C378" s="219"/>
      <c r="D378" s="219"/>
      <c r="E378" s="219"/>
      <c r="F378" s="219"/>
      <c r="G378" s="219"/>
      <c r="H378" s="219"/>
      <c r="I378" s="219"/>
      <c r="J378" s="219"/>
    </row>
    <row r="379" spans="1:10">
      <c r="A379" s="120"/>
      <c r="B379" s="219"/>
      <c r="C379" s="219"/>
      <c r="D379" s="219"/>
      <c r="E379" s="219"/>
      <c r="F379" s="219"/>
      <c r="G379" s="219"/>
      <c r="H379" s="219"/>
      <c r="I379" s="219"/>
      <c r="J379" s="219"/>
    </row>
    <row r="380" spans="1:10">
      <c r="A380" s="120"/>
      <c r="B380" s="219"/>
      <c r="C380" s="219"/>
      <c r="D380" s="219"/>
      <c r="E380" s="219"/>
      <c r="F380" s="219"/>
      <c r="G380" s="219"/>
      <c r="H380" s="219"/>
      <c r="I380" s="219"/>
      <c r="J380" s="219"/>
    </row>
    <row r="381" spans="1:10">
      <c r="A381" s="120"/>
      <c r="B381" s="219"/>
      <c r="C381" s="219"/>
      <c r="D381" s="219"/>
      <c r="E381" s="219"/>
      <c r="F381" s="219"/>
      <c r="G381" s="219"/>
      <c r="H381" s="219"/>
      <c r="I381" s="219"/>
      <c r="J381" s="219"/>
    </row>
    <row r="382" spans="1:10">
      <c r="A382" s="120"/>
      <c r="B382" s="219"/>
      <c r="C382" s="219"/>
      <c r="D382" s="219"/>
      <c r="E382" s="219"/>
      <c r="F382" s="219"/>
      <c r="G382" s="219"/>
      <c r="H382" s="219"/>
      <c r="I382" s="219"/>
      <c r="J382" s="219"/>
    </row>
    <row r="383" spans="1:10">
      <c r="A383" s="120"/>
      <c r="B383" s="219"/>
      <c r="C383" s="219"/>
      <c r="D383" s="219"/>
      <c r="E383" s="219"/>
      <c r="F383" s="219"/>
      <c r="G383" s="219"/>
      <c r="H383" s="219"/>
      <c r="I383" s="219"/>
      <c r="J383" s="219"/>
    </row>
    <row r="384" spans="1:10">
      <c r="A384" s="120"/>
      <c r="B384" s="219"/>
      <c r="C384" s="219"/>
      <c r="D384" s="219"/>
      <c r="E384" s="219"/>
      <c r="F384" s="219"/>
      <c r="G384" s="219"/>
      <c r="H384" s="219"/>
      <c r="I384" s="219"/>
      <c r="J384" s="219"/>
    </row>
    <row r="385" spans="1:10">
      <c r="A385" s="120"/>
      <c r="B385" s="219"/>
      <c r="C385" s="219"/>
      <c r="D385" s="219"/>
      <c r="E385" s="219"/>
      <c r="F385" s="219"/>
      <c r="G385" s="219"/>
      <c r="H385" s="219"/>
      <c r="I385" s="219"/>
      <c r="J385" s="219"/>
    </row>
    <row r="386" spans="1:10">
      <c r="A386" s="120"/>
      <c r="B386" s="219"/>
      <c r="C386" s="219"/>
      <c r="D386" s="219"/>
      <c r="E386" s="219"/>
      <c r="F386" s="219"/>
      <c r="G386" s="219"/>
      <c r="H386" s="219"/>
      <c r="I386" s="219"/>
      <c r="J386" s="219"/>
    </row>
    <row r="387" spans="1:10">
      <c r="A387" s="120"/>
      <c r="B387" s="219"/>
      <c r="C387" s="219"/>
      <c r="D387" s="219"/>
      <c r="E387" s="219"/>
      <c r="F387" s="219"/>
      <c r="G387" s="219"/>
      <c r="H387" s="219"/>
      <c r="I387" s="219"/>
      <c r="J387" s="219"/>
    </row>
    <row r="388" spans="1:10">
      <c r="A388" s="120"/>
      <c r="B388" s="219"/>
      <c r="C388" s="219"/>
      <c r="D388" s="219"/>
      <c r="E388" s="219"/>
      <c r="F388" s="219"/>
      <c r="G388" s="219"/>
      <c r="H388" s="219"/>
      <c r="I388" s="219"/>
      <c r="J388" s="219"/>
    </row>
    <row r="389" spans="1:10">
      <c r="A389" s="120"/>
      <c r="B389" s="219"/>
      <c r="C389" s="219"/>
      <c r="D389" s="219"/>
      <c r="E389" s="219"/>
      <c r="F389" s="219"/>
      <c r="G389" s="219"/>
      <c r="H389" s="219"/>
      <c r="I389" s="219"/>
      <c r="J389" s="219"/>
    </row>
    <row r="390" spans="1:10">
      <c r="A390" s="120"/>
      <c r="B390" s="219"/>
      <c r="C390" s="219"/>
      <c r="D390" s="219"/>
      <c r="E390" s="219"/>
      <c r="F390" s="219"/>
      <c r="G390" s="219"/>
      <c r="H390" s="219"/>
      <c r="I390" s="219"/>
      <c r="J390" s="219"/>
    </row>
    <row r="391" spans="1:10">
      <c r="A391" s="120"/>
      <c r="B391" s="219"/>
      <c r="C391" s="219"/>
      <c r="D391" s="219"/>
      <c r="E391" s="219"/>
      <c r="F391" s="219"/>
      <c r="G391" s="219"/>
      <c r="H391" s="219"/>
      <c r="I391" s="219"/>
      <c r="J391" s="219"/>
    </row>
    <row r="392" spans="1:10">
      <c r="A392" s="120"/>
      <c r="B392" s="219"/>
      <c r="C392" s="219"/>
      <c r="D392" s="219"/>
      <c r="E392" s="219"/>
      <c r="F392" s="219"/>
      <c r="G392" s="219"/>
      <c r="H392" s="219"/>
      <c r="I392" s="219"/>
      <c r="J392" s="219"/>
    </row>
    <row r="393" spans="1:10">
      <c r="A393" s="120"/>
      <c r="B393" s="219"/>
      <c r="C393" s="219"/>
      <c r="D393" s="219"/>
      <c r="E393" s="219"/>
      <c r="F393" s="219"/>
      <c r="G393" s="219"/>
      <c r="H393" s="219"/>
      <c r="I393" s="219"/>
      <c r="J393" s="219"/>
    </row>
    <row r="394" spans="1:10">
      <c r="A394" s="120"/>
      <c r="B394" s="219"/>
      <c r="C394" s="219"/>
      <c r="D394" s="219"/>
      <c r="E394" s="219"/>
      <c r="F394" s="219"/>
      <c r="G394" s="219"/>
      <c r="H394" s="219"/>
      <c r="I394" s="219"/>
      <c r="J394" s="219"/>
    </row>
    <row r="395" spans="1:10">
      <c r="A395" s="120"/>
      <c r="B395" s="219"/>
      <c r="C395" s="219"/>
      <c r="D395" s="219"/>
      <c r="E395" s="219"/>
      <c r="F395" s="219"/>
      <c r="G395" s="219"/>
      <c r="H395" s="219"/>
      <c r="I395" s="219"/>
      <c r="J395" s="219"/>
    </row>
    <row r="396" spans="1:10">
      <c r="A396" s="120"/>
      <c r="B396" s="219"/>
      <c r="C396" s="219"/>
      <c r="D396" s="219"/>
      <c r="E396" s="219"/>
      <c r="F396" s="219"/>
      <c r="G396" s="219"/>
      <c r="H396" s="219"/>
      <c r="I396" s="219"/>
      <c r="J396" s="219"/>
    </row>
    <row r="397" spans="1:10">
      <c r="A397" s="120"/>
      <c r="B397" s="219"/>
      <c r="C397" s="219"/>
      <c r="D397" s="219"/>
      <c r="E397" s="219"/>
      <c r="F397" s="219"/>
      <c r="G397" s="219"/>
      <c r="H397" s="219"/>
      <c r="I397" s="219"/>
      <c r="J397" s="219"/>
    </row>
    <row r="398" spans="1:10">
      <c r="A398" s="120"/>
      <c r="B398" s="219"/>
      <c r="C398" s="219"/>
      <c r="D398" s="219"/>
      <c r="E398" s="219"/>
      <c r="F398" s="219"/>
      <c r="G398" s="219"/>
      <c r="H398" s="219"/>
      <c r="I398" s="219"/>
      <c r="J398" s="219"/>
    </row>
    <row r="399" spans="1:10">
      <c r="A399" s="120"/>
      <c r="B399" s="219"/>
      <c r="C399" s="219"/>
      <c r="D399" s="219"/>
      <c r="E399" s="219"/>
      <c r="F399" s="219"/>
      <c r="G399" s="219"/>
      <c r="H399" s="219"/>
      <c r="I399" s="219"/>
      <c r="J399" s="219"/>
    </row>
    <row r="400" spans="1:10">
      <c r="A400" s="120"/>
      <c r="B400" s="219"/>
      <c r="C400" s="219"/>
      <c r="D400" s="219"/>
      <c r="E400" s="219"/>
      <c r="F400" s="219"/>
      <c r="G400" s="219"/>
      <c r="H400" s="219"/>
      <c r="I400" s="219"/>
      <c r="J400" s="219"/>
    </row>
    <row r="401" spans="1:10">
      <c r="A401" s="120"/>
      <c r="B401" s="219"/>
      <c r="C401" s="219"/>
      <c r="D401" s="219"/>
      <c r="E401" s="219"/>
      <c r="F401" s="219"/>
      <c r="G401" s="219"/>
      <c r="H401" s="219"/>
      <c r="I401" s="219"/>
      <c r="J401" s="219"/>
    </row>
    <row r="402" spans="1:10">
      <c r="A402" s="120"/>
      <c r="B402" s="219"/>
      <c r="C402" s="219"/>
      <c r="D402" s="219"/>
      <c r="E402" s="219"/>
      <c r="F402" s="219"/>
      <c r="G402" s="219"/>
      <c r="H402" s="219"/>
      <c r="I402" s="219"/>
      <c r="J402" s="219"/>
    </row>
    <row r="403" spans="1:10">
      <c r="A403" s="120"/>
      <c r="B403" s="219"/>
      <c r="C403" s="219"/>
      <c r="D403" s="219"/>
      <c r="E403" s="219"/>
      <c r="F403" s="219"/>
      <c r="G403" s="219"/>
      <c r="H403" s="219"/>
      <c r="I403" s="219"/>
      <c r="J403" s="219"/>
    </row>
    <row r="404" spans="1:10">
      <c r="A404" s="120"/>
      <c r="B404" s="219"/>
      <c r="C404" s="219"/>
      <c r="D404" s="219"/>
      <c r="E404" s="219"/>
      <c r="F404" s="219"/>
      <c r="G404" s="219"/>
      <c r="H404" s="219"/>
      <c r="I404" s="219"/>
      <c r="J404" s="219"/>
    </row>
    <row r="405" spans="1:10">
      <c r="A405" s="120"/>
      <c r="B405" s="219"/>
      <c r="C405" s="219"/>
      <c r="D405" s="219"/>
      <c r="E405" s="219"/>
      <c r="F405" s="219"/>
      <c r="G405" s="219"/>
      <c r="H405" s="219"/>
      <c r="I405" s="219"/>
      <c r="J405" s="219"/>
    </row>
    <row r="406" spans="1:10">
      <c r="A406" s="120"/>
      <c r="B406" s="219"/>
      <c r="C406" s="219"/>
      <c r="D406" s="219"/>
      <c r="E406" s="219"/>
      <c r="F406" s="219"/>
      <c r="G406" s="219"/>
      <c r="H406" s="219"/>
      <c r="I406" s="219"/>
      <c r="J406" s="219"/>
    </row>
    <row r="407" spans="1:10">
      <c r="A407" s="120"/>
      <c r="B407" s="219"/>
      <c r="C407" s="219"/>
      <c r="D407" s="219"/>
      <c r="E407" s="219"/>
      <c r="F407" s="219"/>
      <c r="G407" s="219"/>
      <c r="H407" s="219"/>
      <c r="I407" s="219"/>
      <c r="J407" s="219"/>
    </row>
    <row r="408" spans="1:10">
      <c r="A408" s="120"/>
      <c r="B408" s="219"/>
      <c r="C408" s="219"/>
      <c r="D408" s="219"/>
      <c r="E408" s="219"/>
      <c r="F408" s="219"/>
      <c r="G408" s="219"/>
      <c r="H408" s="219"/>
      <c r="I408" s="219"/>
      <c r="J408" s="219"/>
    </row>
    <row r="409" spans="1:10">
      <c r="A409" s="120"/>
      <c r="B409" s="219"/>
      <c r="C409" s="219"/>
      <c r="D409" s="219"/>
      <c r="E409" s="219"/>
      <c r="F409" s="219"/>
      <c r="G409" s="219"/>
      <c r="H409" s="219"/>
      <c r="I409" s="219"/>
      <c r="J409" s="219"/>
    </row>
    <row r="410" spans="1:10">
      <c r="A410" s="120"/>
      <c r="B410" s="219"/>
      <c r="C410" s="219"/>
      <c r="D410" s="219"/>
      <c r="E410" s="219"/>
      <c r="F410" s="219"/>
      <c r="G410" s="219"/>
      <c r="H410" s="219"/>
      <c r="I410" s="219"/>
      <c r="J410" s="219"/>
    </row>
    <row r="411" spans="1:10">
      <c r="A411" s="120"/>
      <c r="B411" s="219"/>
      <c r="C411" s="219"/>
      <c r="D411" s="219"/>
      <c r="E411" s="219"/>
      <c r="F411" s="219"/>
      <c r="G411" s="219"/>
      <c r="H411" s="219"/>
      <c r="I411" s="219"/>
      <c r="J411" s="219"/>
    </row>
    <row r="412" spans="1:10">
      <c r="A412" s="120"/>
      <c r="B412" s="219"/>
      <c r="C412" s="219"/>
      <c r="D412" s="219"/>
      <c r="E412" s="219"/>
      <c r="F412" s="219"/>
      <c r="G412" s="219"/>
      <c r="H412" s="219"/>
      <c r="I412" s="219"/>
      <c r="J412" s="219"/>
    </row>
    <row r="413" spans="1:10">
      <c r="A413" s="120"/>
      <c r="B413" s="219"/>
      <c r="C413" s="219"/>
      <c r="D413" s="219"/>
      <c r="E413" s="219"/>
      <c r="F413" s="219"/>
      <c r="G413" s="219"/>
      <c r="H413" s="219"/>
      <c r="I413" s="219"/>
      <c r="J413" s="219"/>
    </row>
    <row r="414" spans="1:10">
      <c r="A414" s="120"/>
      <c r="B414" s="219"/>
      <c r="C414" s="219"/>
      <c r="D414" s="219"/>
      <c r="E414" s="219"/>
      <c r="F414" s="219"/>
      <c r="G414" s="219"/>
      <c r="H414" s="219"/>
      <c r="I414" s="219"/>
      <c r="J414" s="219"/>
    </row>
    <row r="415" spans="1:10">
      <c r="A415" s="120"/>
      <c r="B415" s="219"/>
      <c r="C415" s="219"/>
      <c r="D415" s="219"/>
      <c r="E415" s="219"/>
      <c r="F415" s="219"/>
      <c r="G415" s="219"/>
      <c r="H415" s="219"/>
      <c r="I415" s="219"/>
      <c r="J415" s="219"/>
    </row>
    <row r="416" spans="1:10">
      <c r="A416" s="120"/>
      <c r="B416" s="219"/>
      <c r="C416" s="219"/>
      <c r="D416" s="219"/>
      <c r="E416" s="219"/>
      <c r="F416" s="219"/>
      <c r="G416" s="219"/>
      <c r="H416" s="219"/>
      <c r="I416" s="219"/>
      <c r="J416" s="219"/>
    </row>
    <row r="417" spans="1:10">
      <c r="A417" s="120"/>
      <c r="B417" s="219"/>
      <c r="C417" s="219"/>
      <c r="D417" s="219"/>
      <c r="E417" s="219"/>
      <c r="F417" s="219"/>
      <c r="G417" s="219"/>
      <c r="H417" s="219"/>
      <c r="I417" s="219"/>
      <c r="J417" s="219"/>
    </row>
    <row r="418" spans="1:10">
      <c r="A418" s="120"/>
      <c r="B418" s="219"/>
      <c r="C418" s="219"/>
      <c r="D418" s="219"/>
      <c r="E418" s="219"/>
      <c r="F418" s="219"/>
      <c r="G418" s="219"/>
      <c r="H418" s="219"/>
      <c r="I418" s="219"/>
      <c r="J418" s="219"/>
    </row>
    <row r="419" spans="1:10">
      <c r="A419" s="120"/>
      <c r="B419" s="219"/>
      <c r="C419" s="219"/>
      <c r="D419" s="219"/>
      <c r="E419" s="219"/>
      <c r="F419" s="219"/>
      <c r="G419" s="219"/>
      <c r="H419" s="219"/>
      <c r="I419" s="219"/>
      <c r="J419" s="219"/>
    </row>
    <row r="420" spans="1:10">
      <c r="A420" s="120"/>
      <c r="B420" s="219"/>
      <c r="C420" s="219"/>
      <c r="D420" s="219"/>
      <c r="E420" s="219"/>
      <c r="F420" s="219"/>
      <c r="G420" s="219"/>
      <c r="H420" s="219"/>
      <c r="I420" s="219"/>
      <c r="J420" s="219"/>
    </row>
    <row r="421" spans="1:10">
      <c r="A421" s="120"/>
      <c r="B421" s="219"/>
      <c r="C421" s="219"/>
      <c r="D421" s="219"/>
      <c r="E421" s="219"/>
      <c r="F421" s="219"/>
      <c r="G421" s="219"/>
      <c r="H421" s="219"/>
      <c r="I421" s="219"/>
      <c r="J421" s="219"/>
    </row>
    <row r="422" spans="1:10">
      <c r="A422" s="120"/>
      <c r="B422" s="219"/>
      <c r="C422" s="219"/>
      <c r="D422" s="219"/>
      <c r="E422" s="219"/>
      <c r="F422" s="219"/>
      <c r="G422" s="219"/>
      <c r="H422" s="219"/>
      <c r="I422" s="219"/>
      <c r="J422" s="219"/>
    </row>
    <row r="423" spans="1:10">
      <c r="A423" s="120"/>
      <c r="B423" s="219"/>
      <c r="C423" s="219"/>
      <c r="D423" s="219"/>
      <c r="E423" s="219"/>
      <c r="F423" s="219"/>
      <c r="G423" s="219"/>
      <c r="H423" s="219"/>
      <c r="I423" s="219"/>
      <c r="J423" s="219"/>
    </row>
    <row r="424" spans="1:10">
      <c r="A424" s="120"/>
      <c r="B424" s="219"/>
      <c r="C424" s="219"/>
      <c r="D424" s="219"/>
      <c r="E424" s="219"/>
      <c r="F424" s="219"/>
      <c r="G424" s="219"/>
      <c r="H424" s="219"/>
      <c r="I424" s="219"/>
      <c r="J424" s="219"/>
    </row>
    <row r="425" spans="1:10">
      <c r="A425" s="120"/>
      <c r="B425" s="219"/>
      <c r="C425" s="219"/>
      <c r="D425" s="219"/>
      <c r="E425" s="219"/>
      <c r="F425" s="219"/>
      <c r="G425" s="219"/>
      <c r="H425" s="219"/>
      <c r="I425" s="219"/>
      <c r="J425" s="219"/>
    </row>
    <row r="426" spans="1:10">
      <c r="A426" s="120"/>
      <c r="B426" s="219"/>
      <c r="C426" s="219"/>
      <c r="D426" s="219"/>
      <c r="E426" s="219"/>
      <c r="F426" s="219"/>
      <c r="G426" s="219"/>
      <c r="H426" s="219"/>
      <c r="I426" s="219"/>
      <c r="J426" s="219"/>
    </row>
    <row r="427" spans="1:10">
      <c r="A427" s="120"/>
      <c r="B427" s="219"/>
      <c r="C427" s="219"/>
      <c r="D427" s="219"/>
      <c r="E427" s="219"/>
      <c r="F427" s="219"/>
      <c r="G427" s="219"/>
      <c r="H427" s="219"/>
      <c r="I427" s="219"/>
      <c r="J427" s="219"/>
    </row>
    <row r="428" spans="1:10">
      <c r="A428" s="120"/>
      <c r="B428" s="219"/>
      <c r="C428" s="219"/>
      <c r="D428" s="219"/>
      <c r="E428" s="219"/>
      <c r="F428" s="219"/>
      <c r="G428" s="219"/>
      <c r="H428" s="219"/>
      <c r="I428" s="219"/>
      <c r="J428" s="219"/>
    </row>
    <row r="429" spans="1:10">
      <c r="A429" s="120"/>
      <c r="B429" s="219"/>
      <c r="C429" s="219"/>
      <c r="D429" s="219"/>
      <c r="E429" s="219"/>
      <c r="F429" s="219"/>
      <c r="G429" s="219"/>
      <c r="H429" s="219"/>
      <c r="I429" s="219"/>
      <c r="J429" s="219"/>
    </row>
    <row r="430" spans="1:10">
      <c r="A430" s="120"/>
      <c r="B430" s="219"/>
      <c r="C430" s="219"/>
      <c r="D430" s="219"/>
      <c r="E430" s="219"/>
      <c r="F430" s="219"/>
      <c r="G430" s="219"/>
      <c r="H430" s="219"/>
      <c r="I430" s="219"/>
      <c r="J430" s="219"/>
    </row>
    <row r="431" spans="1:10">
      <c r="A431" s="120"/>
      <c r="B431" s="219"/>
      <c r="C431" s="219"/>
      <c r="D431" s="219"/>
      <c r="E431" s="219"/>
      <c r="F431" s="219"/>
      <c r="G431" s="219"/>
      <c r="H431" s="219"/>
      <c r="I431" s="219"/>
      <c r="J431" s="219"/>
    </row>
    <row r="432" spans="1:10">
      <c r="A432" s="120"/>
      <c r="B432" s="219"/>
      <c r="C432" s="219"/>
      <c r="D432" s="219"/>
      <c r="E432" s="219"/>
      <c r="F432" s="219"/>
      <c r="G432" s="219"/>
      <c r="H432" s="219"/>
      <c r="I432" s="219"/>
      <c r="J432" s="219"/>
    </row>
    <row r="433" spans="1:10">
      <c r="A433" s="120"/>
      <c r="B433" s="219"/>
      <c r="C433" s="219"/>
      <c r="D433" s="219"/>
      <c r="E433" s="219"/>
      <c r="F433" s="219"/>
      <c r="G433" s="219"/>
      <c r="H433" s="219"/>
      <c r="I433" s="219"/>
      <c r="J433" s="219"/>
    </row>
    <row r="434" spans="1:10">
      <c r="A434" s="120"/>
      <c r="B434" s="219"/>
      <c r="C434" s="219"/>
      <c r="D434" s="219"/>
      <c r="E434" s="219"/>
      <c r="F434" s="219"/>
      <c r="G434" s="219"/>
      <c r="H434" s="219"/>
      <c r="I434" s="219"/>
      <c r="J434" s="219"/>
    </row>
    <row r="435" spans="1:10">
      <c r="A435" s="120"/>
      <c r="B435" s="219"/>
      <c r="C435" s="219"/>
      <c r="D435" s="219"/>
      <c r="E435" s="219"/>
      <c r="F435" s="219"/>
      <c r="G435" s="219"/>
      <c r="H435" s="219"/>
      <c r="I435" s="219"/>
      <c r="J435" s="219"/>
    </row>
    <row r="436" spans="1:10">
      <c r="A436" s="120"/>
      <c r="B436" s="219"/>
      <c r="C436" s="219"/>
      <c r="D436" s="219"/>
      <c r="E436" s="219"/>
      <c r="F436" s="219"/>
      <c r="G436" s="219"/>
      <c r="H436" s="219"/>
      <c r="I436" s="219"/>
      <c r="J436" s="219"/>
    </row>
    <row r="437" spans="1:10">
      <c r="A437" s="120"/>
      <c r="B437" s="219"/>
      <c r="C437" s="219"/>
      <c r="D437" s="219"/>
      <c r="E437" s="219"/>
      <c r="F437" s="219"/>
      <c r="G437" s="219"/>
      <c r="H437" s="219"/>
      <c r="I437" s="219"/>
      <c r="J437" s="219"/>
    </row>
    <row r="438" spans="1:10">
      <c r="A438" s="120"/>
      <c r="B438" s="219"/>
      <c r="C438" s="219"/>
      <c r="D438" s="219"/>
      <c r="E438" s="219"/>
      <c r="F438" s="219"/>
      <c r="G438" s="219"/>
      <c r="H438" s="219"/>
      <c r="I438" s="219"/>
      <c r="J438" s="219"/>
    </row>
    <row r="439" spans="1:10">
      <c r="A439" s="120"/>
      <c r="B439" s="219"/>
      <c r="C439" s="219"/>
      <c r="D439" s="219"/>
      <c r="E439" s="219"/>
      <c r="F439" s="219"/>
      <c r="G439" s="219"/>
      <c r="H439" s="219"/>
      <c r="I439" s="219"/>
      <c r="J439" s="219"/>
    </row>
    <row r="440" spans="1:10">
      <c r="A440" s="120"/>
      <c r="B440" s="219"/>
      <c r="C440" s="219"/>
      <c r="D440" s="219"/>
      <c r="E440" s="219"/>
      <c r="F440" s="219"/>
      <c r="G440" s="219"/>
      <c r="H440" s="219"/>
      <c r="I440" s="219"/>
      <c r="J440" s="219"/>
    </row>
    <row r="441" spans="1:10">
      <c r="A441" s="120"/>
      <c r="B441" s="219"/>
      <c r="C441" s="219"/>
      <c r="D441" s="219"/>
      <c r="E441" s="219"/>
      <c r="F441" s="219"/>
      <c r="G441" s="219"/>
      <c r="H441" s="219"/>
      <c r="I441" s="219"/>
      <c r="J441" s="219"/>
    </row>
    <row r="442" spans="1:10">
      <c r="A442" s="120"/>
      <c r="B442" s="219"/>
      <c r="C442" s="219"/>
      <c r="D442" s="219"/>
      <c r="E442" s="219"/>
      <c r="F442" s="219"/>
      <c r="G442" s="219"/>
      <c r="H442" s="219"/>
      <c r="I442" s="219"/>
      <c r="J442" s="219"/>
    </row>
    <row r="443" spans="1:10">
      <c r="A443" s="120"/>
      <c r="B443" s="219"/>
      <c r="C443" s="219"/>
      <c r="D443" s="219"/>
      <c r="E443" s="219"/>
      <c r="F443" s="219"/>
      <c r="G443" s="219"/>
      <c r="H443" s="219"/>
      <c r="I443" s="219"/>
      <c r="J443" s="219"/>
    </row>
    <row r="444" spans="1:10">
      <c r="A444" s="120"/>
      <c r="B444" s="219"/>
      <c r="C444" s="219"/>
      <c r="D444" s="219"/>
      <c r="E444" s="219"/>
      <c r="F444" s="219"/>
      <c r="G444" s="219"/>
      <c r="H444" s="219"/>
      <c r="I444" s="219"/>
      <c r="J444" s="219"/>
    </row>
    <row r="445" spans="1:10">
      <c r="A445" s="120"/>
      <c r="B445" s="219"/>
      <c r="C445" s="219"/>
      <c r="D445" s="219"/>
      <c r="E445" s="219"/>
      <c r="F445" s="219"/>
      <c r="G445" s="219"/>
      <c r="H445" s="219"/>
      <c r="I445" s="219"/>
      <c r="J445" s="219"/>
    </row>
    <row r="446" spans="1:10">
      <c r="A446" s="120"/>
      <c r="B446" s="219"/>
      <c r="C446" s="219"/>
      <c r="D446" s="219"/>
      <c r="E446" s="219"/>
      <c r="F446" s="219"/>
      <c r="G446" s="219"/>
      <c r="H446" s="219"/>
      <c r="I446" s="219"/>
      <c r="J446" s="219"/>
    </row>
    <row r="447" spans="1:10">
      <c r="A447" s="120"/>
      <c r="B447" s="219"/>
      <c r="C447" s="219"/>
      <c r="D447" s="219"/>
      <c r="E447" s="219"/>
      <c r="F447" s="219"/>
      <c r="G447" s="219"/>
      <c r="H447" s="219"/>
      <c r="I447" s="219"/>
      <c r="J447" s="219"/>
    </row>
    <row r="448" spans="1:10">
      <c r="A448" s="120"/>
      <c r="B448" s="219"/>
      <c r="C448" s="219"/>
      <c r="D448" s="219"/>
      <c r="E448" s="219"/>
      <c r="F448" s="219"/>
      <c r="G448" s="219"/>
      <c r="H448" s="219"/>
      <c r="I448" s="219"/>
      <c r="J448" s="219"/>
    </row>
    <row r="449" spans="1:10">
      <c r="A449" s="120"/>
      <c r="B449" s="219"/>
      <c r="C449" s="219"/>
      <c r="D449" s="219"/>
      <c r="E449" s="219"/>
      <c r="F449" s="219"/>
      <c r="G449" s="219"/>
      <c r="H449" s="219"/>
      <c r="I449" s="219"/>
      <c r="J449" s="219"/>
    </row>
    <row r="450" spans="1:10">
      <c r="A450" s="120"/>
      <c r="B450" s="219"/>
      <c r="C450" s="219"/>
      <c r="D450" s="219"/>
      <c r="E450" s="219"/>
      <c r="F450" s="219"/>
      <c r="G450" s="219"/>
      <c r="H450" s="219"/>
      <c r="I450" s="219"/>
      <c r="J450" s="219"/>
    </row>
    <row r="451" spans="1:10">
      <c r="A451" s="120"/>
      <c r="B451" s="219"/>
      <c r="C451" s="219"/>
      <c r="D451" s="219"/>
      <c r="E451" s="219"/>
      <c r="F451" s="219"/>
      <c r="G451" s="219"/>
      <c r="H451" s="219"/>
      <c r="I451" s="219"/>
      <c r="J451" s="219"/>
    </row>
    <row r="452" spans="1:10">
      <c r="A452" s="120"/>
      <c r="B452" s="219"/>
      <c r="C452" s="219"/>
      <c r="D452" s="219"/>
      <c r="E452" s="219"/>
      <c r="F452" s="219"/>
      <c r="G452" s="219"/>
      <c r="H452" s="219"/>
      <c r="I452" s="219"/>
      <c r="J452" s="219"/>
    </row>
    <row r="453" spans="1:10">
      <c r="A453" s="120"/>
      <c r="B453" s="219"/>
      <c r="C453" s="219"/>
      <c r="D453" s="219"/>
      <c r="E453" s="219"/>
      <c r="F453" s="219"/>
      <c r="G453" s="219"/>
      <c r="H453" s="219"/>
      <c r="I453" s="219"/>
      <c r="J453" s="219"/>
    </row>
    <row r="454" spans="1:10">
      <c r="A454" s="120"/>
      <c r="B454" s="219"/>
      <c r="C454" s="219"/>
      <c r="D454" s="219"/>
      <c r="E454" s="219"/>
      <c r="F454" s="219"/>
      <c r="G454" s="219"/>
      <c r="H454" s="219"/>
      <c r="I454" s="219"/>
      <c r="J454" s="219"/>
    </row>
    <row r="455" spans="1:10">
      <c r="A455" s="120"/>
      <c r="B455" s="219"/>
      <c r="C455" s="219"/>
      <c r="D455" s="219"/>
      <c r="E455" s="219"/>
      <c r="F455" s="219"/>
      <c r="G455" s="219"/>
      <c r="H455" s="219"/>
      <c r="I455" s="219"/>
      <c r="J455" s="219"/>
    </row>
    <row r="456" spans="1:10">
      <c r="A456" s="120"/>
      <c r="B456" s="219"/>
      <c r="C456" s="219"/>
      <c r="D456" s="219"/>
      <c r="E456" s="219"/>
      <c r="F456" s="219"/>
      <c r="G456" s="219"/>
      <c r="H456" s="219"/>
      <c r="I456" s="219"/>
      <c r="J456" s="219"/>
    </row>
    <row r="457" spans="1:10">
      <c r="A457" s="120"/>
      <c r="B457" s="219"/>
      <c r="C457" s="219"/>
      <c r="D457" s="219"/>
      <c r="E457" s="219"/>
      <c r="F457" s="219"/>
      <c r="G457" s="219"/>
      <c r="H457" s="219"/>
      <c r="I457" s="219"/>
      <c r="J457" s="219"/>
    </row>
    <row r="458" spans="1:10">
      <c r="A458" s="120"/>
      <c r="B458" s="219"/>
      <c r="C458" s="219"/>
      <c r="D458" s="219"/>
      <c r="E458" s="219"/>
      <c r="F458" s="219"/>
      <c r="G458" s="219"/>
      <c r="H458" s="219"/>
      <c r="I458" s="219"/>
      <c r="J458" s="219"/>
    </row>
    <row r="459" spans="1:10">
      <c r="A459" s="120"/>
      <c r="B459" s="219"/>
      <c r="C459" s="219"/>
      <c r="D459" s="219"/>
      <c r="E459" s="219"/>
      <c r="F459" s="219"/>
      <c r="G459" s="219"/>
      <c r="H459" s="219"/>
      <c r="I459" s="219"/>
      <c r="J459" s="219"/>
    </row>
    <row r="460" spans="1:10">
      <c r="A460" s="120"/>
      <c r="B460" s="219"/>
      <c r="C460" s="219"/>
      <c r="D460" s="219"/>
      <c r="E460" s="219"/>
      <c r="F460" s="219"/>
      <c r="G460" s="219"/>
      <c r="H460" s="219"/>
      <c r="I460" s="219"/>
      <c r="J460" s="219"/>
    </row>
    <row r="461" spans="1:10">
      <c r="A461" s="120"/>
      <c r="B461" s="219"/>
      <c r="C461" s="219"/>
      <c r="D461" s="219"/>
      <c r="E461" s="219"/>
      <c r="F461" s="219"/>
      <c r="G461" s="219"/>
      <c r="H461" s="219"/>
      <c r="I461" s="219"/>
      <c r="J461" s="219"/>
    </row>
    <row r="462" spans="1:10">
      <c r="A462" s="120"/>
      <c r="B462" s="219"/>
      <c r="C462" s="219"/>
      <c r="D462" s="219"/>
      <c r="E462" s="219"/>
      <c r="F462" s="219"/>
      <c r="G462" s="219"/>
      <c r="H462" s="219"/>
      <c r="I462" s="219"/>
      <c r="J462" s="219"/>
    </row>
    <row r="463" spans="1:10">
      <c r="A463" s="120"/>
      <c r="B463" s="219"/>
      <c r="C463" s="219"/>
      <c r="D463" s="219"/>
      <c r="E463" s="219"/>
      <c r="F463" s="219"/>
      <c r="G463" s="219"/>
      <c r="H463" s="219"/>
      <c r="I463" s="219"/>
      <c r="J463" s="219"/>
    </row>
    <row r="464" spans="1:10">
      <c r="A464" s="120"/>
      <c r="B464" s="219"/>
      <c r="C464" s="219"/>
      <c r="D464" s="219"/>
      <c r="E464" s="219"/>
      <c r="F464" s="219"/>
      <c r="G464" s="219"/>
      <c r="H464" s="219"/>
      <c r="I464" s="219"/>
      <c r="J464" s="219"/>
    </row>
    <row r="465" spans="1:10">
      <c r="A465" s="120"/>
      <c r="B465" s="219"/>
      <c r="C465" s="219"/>
      <c r="D465" s="219"/>
      <c r="E465" s="219"/>
      <c r="F465" s="219"/>
      <c r="G465" s="219"/>
      <c r="H465" s="219"/>
      <c r="I465" s="219"/>
      <c r="J465" s="219"/>
    </row>
    <row r="466" spans="1:10">
      <c r="A466" s="120"/>
      <c r="B466" s="219"/>
      <c r="C466" s="219"/>
      <c r="D466" s="219"/>
      <c r="E466" s="219"/>
      <c r="F466" s="219"/>
      <c r="G466" s="219"/>
      <c r="H466" s="219"/>
      <c r="I466" s="219"/>
      <c r="J466" s="219"/>
    </row>
    <row r="467" spans="1:10">
      <c r="A467" s="120"/>
      <c r="B467" s="219"/>
      <c r="C467" s="219"/>
      <c r="D467" s="219"/>
      <c r="E467" s="219"/>
      <c r="F467" s="219"/>
      <c r="G467" s="219"/>
      <c r="H467" s="219"/>
      <c r="I467" s="219"/>
      <c r="J467" s="219"/>
    </row>
    <row r="468" spans="1:10">
      <c r="A468" s="120"/>
      <c r="B468" s="219"/>
      <c r="C468" s="219"/>
      <c r="D468" s="219"/>
      <c r="E468" s="219"/>
      <c r="F468" s="219"/>
      <c r="G468" s="219"/>
      <c r="H468" s="219"/>
      <c r="I468" s="219"/>
      <c r="J468" s="219"/>
    </row>
    <row r="469" spans="1:10">
      <c r="A469" s="120"/>
      <c r="B469" s="219"/>
      <c r="C469" s="219"/>
      <c r="D469" s="219"/>
      <c r="E469" s="219"/>
      <c r="F469" s="219"/>
      <c r="G469" s="219"/>
      <c r="H469" s="219"/>
      <c r="I469" s="219"/>
      <c r="J469" s="219"/>
    </row>
    <row r="470" spans="1:10">
      <c r="A470" s="120"/>
      <c r="B470" s="219"/>
      <c r="C470" s="219"/>
      <c r="D470" s="219"/>
      <c r="E470" s="219"/>
      <c r="F470" s="219"/>
      <c r="G470" s="219"/>
      <c r="H470" s="219"/>
      <c r="I470" s="219"/>
      <c r="J470" s="219"/>
    </row>
    <row r="471" spans="1:10">
      <c r="A471" s="120"/>
      <c r="B471" s="219"/>
      <c r="C471" s="219"/>
      <c r="D471" s="219"/>
      <c r="E471" s="219"/>
      <c r="F471" s="219"/>
      <c r="G471" s="219"/>
      <c r="H471" s="219"/>
      <c r="I471" s="219"/>
      <c r="J471" s="219"/>
    </row>
    <row r="472" spans="1:10">
      <c r="A472" s="120"/>
      <c r="B472" s="219"/>
      <c r="C472" s="219"/>
      <c r="D472" s="219"/>
      <c r="E472" s="219"/>
      <c r="F472" s="219"/>
      <c r="G472" s="219"/>
      <c r="H472" s="219"/>
      <c r="I472" s="219"/>
      <c r="J472" s="219"/>
    </row>
    <row r="473" spans="1:10">
      <c r="A473" s="120"/>
      <c r="B473" s="219"/>
      <c r="C473" s="219"/>
      <c r="D473" s="219"/>
      <c r="E473" s="219"/>
      <c r="F473" s="219"/>
      <c r="G473" s="219"/>
      <c r="H473" s="219"/>
      <c r="I473" s="219"/>
      <c r="J473" s="219"/>
    </row>
    <row r="474" spans="1:10">
      <c r="A474" s="120"/>
      <c r="B474" s="219"/>
      <c r="C474" s="219"/>
      <c r="D474" s="219"/>
      <c r="E474" s="219"/>
      <c r="F474" s="219"/>
      <c r="G474" s="219"/>
      <c r="H474" s="219"/>
      <c r="I474" s="219"/>
      <c r="J474" s="219"/>
    </row>
    <row r="475" spans="1:10">
      <c r="A475" s="120"/>
      <c r="B475" s="219"/>
      <c r="C475" s="219"/>
      <c r="D475" s="219"/>
      <c r="E475" s="219"/>
      <c r="F475" s="219"/>
      <c r="G475" s="219"/>
      <c r="H475" s="219"/>
      <c r="I475" s="219"/>
      <c r="J475" s="219"/>
    </row>
    <row r="476" spans="1:10">
      <c r="A476" s="120"/>
      <c r="B476" s="219"/>
      <c r="C476" s="219"/>
      <c r="D476" s="219"/>
      <c r="E476" s="219"/>
      <c r="F476" s="219"/>
      <c r="G476" s="219"/>
      <c r="H476" s="219"/>
      <c r="I476" s="219"/>
      <c r="J476" s="219"/>
    </row>
    <row r="477" spans="1:10">
      <c r="A477" s="120"/>
      <c r="B477" s="219"/>
      <c r="C477" s="219"/>
      <c r="D477" s="219"/>
      <c r="E477" s="219"/>
      <c r="F477" s="219"/>
      <c r="G477" s="219"/>
      <c r="H477" s="219"/>
      <c r="I477" s="219"/>
      <c r="J477" s="219"/>
    </row>
    <row r="478" spans="1:10">
      <c r="A478" s="120"/>
      <c r="B478" s="219"/>
      <c r="C478" s="219"/>
      <c r="D478" s="219"/>
      <c r="E478" s="219"/>
      <c r="F478" s="219"/>
      <c r="G478" s="219"/>
      <c r="H478" s="219"/>
      <c r="I478" s="219"/>
      <c r="J478" s="219"/>
    </row>
    <row r="479" spans="1:10">
      <c r="A479" s="120"/>
      <c r="B479" s="219"/>
      <c r="C479" s="219"/>
      <c r="D479" s="219"/>
      <c r="E479" s="219"/>
      <c r="F479" s="219"/>
      <c r="G479" s="219"/>
      <c r="H479" s="219"/>
      <c r="I479" s="219"/>
      <c r="J479" s="219"/>
    </row>
    <row r="480" spans="1:10">
      <c r="A480" s="120"/>
      <c r="B480" s="219"/>
      <c r="C480" s="219"/>
      <c r="D480" s="219"/>
      <c r="E480" s="219"/>
      <c r="F480" s="219"/>
      <c r="G480" s="219"/>
      <c r="H480" s="219"/>
      <c r="I480" s="219"/>
      <c r="J480" s="219"/>
    </row>
    <row r="481" spans="1:10">
      <c r="A481" s="120"/>
      <c r="B481" s="219"/>
      <c r="C481" s="219"/>
      <c r="D481" s="219"/>
      <c r="E481" s="219"/>
      <c r="F481" s="219"/>
      <c r="G481" s="219"/>
      <c r="H481" s="219"/>
      <c r="I481" s="219"/>
      <c r="J481" s="219"/>
    </row>
    <row r="482" spans="1:10">
      <c r="A482" s="120"/>
      <c r="B482" s="219"/>
      <c r="C482" s="219"/>
      <c r="D482" s="219"/>
      <c r="E482" s="219"/>
      <c r="F482" s="219"/>
      <c r="G482" s="219"/>
      <c r="H482" s="219"/>
      <c r="I482" s="219"/>
      <c r="J482" s="219"/>
    </row>
    <row r="483" spans="1:10">
      <c r="A483" s="120"/>
      <c r="B483" s="219"/>
      <c r="C483" s="219"/>
      <c r="D483" s="219"/>
      <c r="E483" s="219"/>
      <c r="F483" s="219"/>
      <c r="G483" s="219"/>
      <c r="H483" s="219"/>
      <c r="I483" s="219"/>
      <c r="J483" s="219"/>
    </row>
    <row r="484" spans="1:10">
      <c r="A484" s="120"/>
      <c r="B484" s="219"/>
      <c r="C484" s="219"/>
      <c r="D484" s="219"/>
      <c r="E484" s="219"/>
      <c r="F484" s="219"/>
      <c r="G484" s="219"/>
      <c r="H484" s="219"/>
      <c r="I484" s="219"/>
      <c r="J484" s="219"/>
    </row>
    <row r="485" spans="1:10">
      <c r="A485" s="120"/>
      <c r="B485" s="219"/>
      <c r="C485" s="219"/>
      <c r="D485" s="219"/>
      <c r="E485" s="219"/>
      <c r="F485" s="219"/>
      <c r="G485" s="219"/>
      <c r="H485" s="219"/>
      <c r="I485" s="219"/>
      <c r="J485" s="219"/>
    </row>
    <row r="486" spans="1:10">
      <c r="A486" s="120"/>
      <c r="B486" s="219"/>
      <c r="C486" s="219"/>
      <c r="D486" s="219"/>
      <c r="E486" s="219"/>
      <c r="F486" s="219"/>
      <c r="G486" s="219"/>
      <c r="H486" s="219"/>
      <c r="I486" s="219"/>
      <c r="J486" s="219"/>
    </row>
    <row r="487" spans="1:10">
      <c r="A487" s="120"/>
      <c r="B487" s="219"/>
      <c r="C487" s="219"/>
      <c r="D487" s="219"/>
      <c r="E487" s="219"/>
      <c r="F487" s="219"/>
      <c r="G487" s="219"/>
      <c r="H487" s="219"/>
      <c r="I487" s="219"/>
      <c r="J487" s="219"/>
    </row>
    <row r="488" spans="1:10">
      <c r="A488" s="120"/>
      <c r="B488" s="219"/>
      <c r="C488" s="219"/>
      <c r="D488" s="219"/>
      <c r="E488" s="219"/>
      <c r="F488" s="219"/>
      <c r="G488" s="219"/>
      <c r="H488" s="219"/>
      <c r="I488" s="219"/>
      <c r="J488" s="219"/>
    </row>
    <row r="489" spans="1:10">
      <c r="A489" s="120"/>
      <c r="B489" s="219"/>
      <c r="C489" s="219"/>
      <c r="D489" s="219"/>
      <c r="E489" s="219"/>
      <c r="F489" s="219"/>
      <c r="G489" s="219"/>
      <c r="H489" s="219"/>
      <c r="I489" s="219"/>
      <c r="J489" s="219"/>
    </row>
    <row r="490" spans="1:10">
      <c r="A490" s="120"/>
      <c r="B490" s="219"/>
      <c r="C490" s="219"/>
      <c r="D490" s="219"/>
      <c r="E490" s="219"/>
      <c r="F490" s="219"/>
      <c r="G490" s="219"/>
      <c r="H490" s="219"/>
      <c r="I490" s="219"/>
      <c r="J490" s="219"/>
    </row>
    <row r="491" spans="1:10">
      <c r="A491" s="120"/>
      <c r="B491" s="219"/>
      <c r="C491" s="219"/>
      <c r="D491" s="219"/>
      <c r="E491" s="219"/>
      <c r="F491" s="219"/>
      <c r="G491" s="219"/>
      <c r="H491" s="219"/>
      <c r="I491" s="219"/>
      <c r="J491" s="219"/>
    </row>
    <row r="492" spans="1:10">
      <c r="A492" s="120"/>
      <c r="B492" s="219"/>
      <c r="C492" s="219"/>
      <c r="D492" s="219"/>
      <c r="E492" s="219"/>
      <c r="F492" s="219"/>
      <c r="G492" s="219"/>
      <c r="H492" s="219"/>
      <c r="I492" s="219"/>
      <c r="J492" s="219"/>
    </row>
    <row r="493" spans="1:10">
      <c r="A493" s="120"/>
      <c r="B493" s="219"/>
      <c r="C493" s="219"/>
      <c r="D493" s="219"/>
      <c r="E493" s="219"/>
      <c r="F493" s="219"/>
      <c r="G493" s="219"/>
      <c r="H493" s="219"/>
      <c r="I493" s="219"/>
      <c r="J493" s="219"/>
    </row>
    <row r="494" spans="1:10">
      <c r="A494" s="120"/>
      <c r="B494" s="219"/>
      <c r="C494" s="219"/>
      <c r="D494" s="219"/>
      <c r="E494" s="219"/>
      <c r="F494" s="219"/>
      <c r="G494" s="219"/>
      <c r="H494" s="219"/>
      <c r="I494" s="219"/>
      <c r="J494" s="219"/>
    </row>
    <row r="495" spans="1:10">
      <c r="A495" s="120"/>
      <c r="B495" s="219"/>
      <c r="C495" s="219"/>
      <c r="D495" s="219"/>
      <c r="E495" s="219"/>
      <c r="F495" s="219"/>
      <c r="G495" s="219"/>
      <c r="H495" s="219"/>
      <c r="I495" s="219"/>
      <c r="J495" s="219"/>
    </row>
    <row r="496" spans="1:10">
      <c r="A496" s="120"/>
      <c r="B496" s="219"/>
      <c r="C496" s="219"/>
      <c r="D496" s="219"/>
      <c r="E496" s="219"/>
      <c r="F496" s="219"/>
      <c r="G496" s="219"/>
      <c r="H496" s="219"/>
      <c r="I496" s="219"/>
      <c r="J496" s="219"/>
    </row>
    <row r="497" spans="1:10">
      <c r="A497" s="120"/>
      <c r="B497" s="219"/>
      <c r="C497" s="219"/>
      <c r="D497" s="219"/>
      <c r="E497" s="219"/>
      <c r="F497" s="219"/>
      <c r="G497" s="219"/>
      <c r="H497" s="219"/>
      <c r="I497" s="219"/>
      <c r="J497" s="219"/>
    </row>
    <row r="498" spans="1:10">
      <c r="A498" s="120"/>
      <c r="B498" s="219"/>
      <c r="C498" s="219"/>
      <c r="D498" s="219"/>
      <c r="E498" s="219"/>
      <c r="F498" s="219"/>
      <c r="G498" s="219"/>
      <c r="H498" s="219"/>
      <c r="I498" s="219"/>
      <c r="J498" s="219"/>
    </row>
    <row r="499" spans="1:10">
      <c r="A499" s="120"/>
      <c r="B499" s="219"/>
      <c r="C499" s="219"/>
      <c r="D499" s="219"/>
      <c r="E499" s="219"/>
      <c r="F499" s="219"/>
      <c r="G499" s="219"/>
      <c r="H499" s="219"/>
      <c r="I499" s="219"/>
      <c r="J499" s="219"/>
    </row>
    <row r="500" spans="1:10">
      <c r="A500" s="120"/>
      <c r="B500" s="219"/>
      <c r="C500" s="219"/>
      <c r="D500" s="219"/>
      <c r="E500" s="219"/>
      <c r="F500" s="219"/>
      <c r="G500" s="219"/>
      <c r="H500" s="219"/>
      <c r="I500" s="219"/>
      <c r="J500" s="219"/>
    </row>
    <row r="501" spans="1:10">
      <c r="A501" s="120"/>
      <c r="B501" s="219"/>
      <c r="C501" s="219"/>
      <c r="D501" s="219"/>
      <c r="E501" s="219"/>
      <c r="F501" s="219"/>
      <c r="G501" s="219"/>
      <c r="H501" s="219"/>
      <c r="I501" s="219"/>
      <c r="J501" s="219"/>
    </row>
    <row r="502" spans="1:10">
      <c r="A502" s="120"/>
      <c r="B502" s="219"/>
      <c r="C502" s="219"/>
      <c r="D502" s="219"/>
      <c r="E502" s="219"/>
      <c r="F502" s="219"/>
      <c r="G502" s="219"/>
      <c r="H502" s="219"/>
      <c r="I502" s="219"/>
      <c r="J502" s="219"/>
    </row>
    <row r="503" spans="1:10">
      <c r="A503" s="120"/>
      <c r="B503" s="219"/>
      <c r="C503" s="219"/>
      <c r="D503" s="219"/>
      <c r="E503" s="219"/>
      <c r="F503" s="219"/>
      <c r="G503" s="219"/>
      <c r="H503" s="219"/>
      <c r="I503" s="219"/>
      <c r="J503" s="219"/>
    </row>
    <row r="504" spans="1:10">
      <c r="A504" s="120"/>
      <c r="B504" s="219"/>
      <c r="C504" s="219"/>
      <c r="D504" s="219"/>
      <c r="E504" s="219"/>
      <c r="F504" s="219"/>
      <c r="G504" s="219"/>
      <c r="H504" s="219"/>
      <c r="I504" s="219"/>
      <c r="J504" s="219"/>
    </row>
    <row r="505" spans="1:10">
      <c r="A505" s="120"/>
      <c r="B505" s="219"/>
      <c r="C505" s="219"/>
      <c r="D505" s="219"/>
      <c r="E505" s="219"/>
      <c r="F505" s="219"/>
      <c r="G505" s="219"/>
      <c r="H505" s="219"/>
      <c r="I505" s="219"/>
      <c r="J505" s="219"/>
    </row>
    <row r="506" spans="1:10">
      <c r="A506" s="120"/>
      <c r="B506" s="219"/>
      <c r="C506" s="219"/>
      <c r="D506" s="219"/>
      <c r="E506" s="219"/>
      <c r="F506" s="219"/>
      <c r="G506" s="219"/>
      <c r="H506" s="219"/>
      <c r="I506" s="219"/>
      <c r="J506" s="219"/>
    </row>
    <row r="507" spans="1:10">
      <c r="A507" s="120"/>
      <c r="B507" s="219"/>
      <c r="C507" s="219"/>
      <c r="D507" s="219"/>
      <c r="E507" s="219"/>
      <c r="F507" s="219"/>
      <c r="G507" s="219"/>
      <c r="H507" s="219"/>
      <c r="I507" s="219"/>
      <c r="J507" s="219"/>
    </row>
    <row r="508" spans="1:10">
      <c r="A508" s="120"/>
      <c r="B508" s="219"/>
      <c r="C508" s="219"/>
      <c r="D508" s="219"/>
      <c r="E508" s="219"/>
      <c r="F508" s="219"/>
      <c r="G508" s="219"/>
      <c r="H508" s="219"/>
      <c r="I508" s="219"/>
      <c r="J508" s="219"/>
    </row>
    <row r="509" spans="1:10">
      <c r="A509" s="120"/>
      <c r="B509" s="219"/>
      <c r="C509" s="219"/>
      <c r="D509" s="219"/>
      <c r="E509" s="219"/>
      <c r="F509" s="219"/>
      <c r="G509" s="219"/>
      <c r="H509" s="219"/>
      <c r="I509" s="219"/>
      <c r="J509" s="219"/>
    </row>
    <row r="510" spans="1:10">
      <c r="A510" s="120"/>
      <c r="B510" s="219"/>
      <c r="C510" s="219"/>
      <c r="D510" s="219"/>
      <c r="E510" s="219"/>
      <c r="F510" s="219"/>
      <c r="G510" s="219"/>
      <c r="H510" s="219"/>
      <c r="I510" s="219"/>
      <c r="J510" s="219"/>
    </row>
    <row r="511" spans="1:10">
      <c r="A511" s="120"/>
      <c r="B511" s="219"/>
      <c r="C511" s="219"/>
      <c r="D511" s="219"/>
      <c r="E511" s="219"/>
      <c r="F511" s="219"/>
      <c r="G511" s="219"/>
      <c r="H511" s="219"/>
      <c r="I511" s="219"/>
      <c r="J511" s="219"/>
    </row>
    <row r="512" spans="1:10">
      <c r="A512" s="120"/>
      <c r="B512" s="219"/>
      <c r="C512" s="219"/>
      <c r="D512" s="219"/>
      <c r="E512" s="219"/>
      <c r="F512" s="219"/>
      <c r="G512" s="219"/>
      <c r="H512" s="219"/>
      <c r="I512" s="219"/>
      <c r="J512" s="219"/>
    </row>
    <row r="513" spans="1:10">
      <c r="A513" s="120"/>
      <c r="B513" s="219"/>
      <c r="C513" s="219"/>
      <c r="D513" s="219"/>
      <c r="E513" s="219"/>
      <c r="F513" s="219"/>
      <c r="G513" s="219"/>
      <c r="H513" s="219"/>
      <c r="I513" s="219"/>
      <c r="J513" s="219"/>
    </row>
    <row r="514" spans="1:10">
      <c r="A514" s="120"/>
      <c r="B514" s="219"/>
      <c r="C514" s="219"/>
      <c r="D514" s="219"/>
      <c r="E514" s="219"/>
      <c r="F514" s="219"/>
      <c r="G514" s="219"/>
      <c r="H514" s="219"/>
      <c r="I514" s="219"/>
      <c r="J514" s="219"/>
    </row>
    <row r="515" spans="1:10">
      <c r="A515" s="120"/>
      <c r="B515" s="219"/>
      <c r="C515" s="219"/>
      <c r="D515" s="219"/>
      <c r="E515" s="219"/>
      <c r="F515" s="219"/>
      <c r="G515" s="219"/>
      <c r="H515" s="219"/>
      <c r="I515" s="219"/>
      <c r="J515" s="219"/>
    </row>
    <row r="516" spans="1:10">
      <c r="A516" s="120"/>
      <c r="B516" s="219"/>
      <c r="C516" s="219"/>
      <c r="D516" s="219"/>
      <c r="E516" s="219"/>
      <c r="F516" s="219"/>
      <c r="G516" s="219"/>
      <c r="H516" s="219"/>
      <c r="I516" s="219"/>
      <c r="J516" s="219"/>
    </row>
    <row r="517" spans="1:10">
      <c r="A517" s="120"/>
      <c r="B517" s="219"/>
      <c r="C517" s="219"/>
      <c r="D517" s="219"/>
      <c r="E517" s="219"/>
      <c r="F517" s="219"/>
      <c r="G517" s="219"/>
      <c r="H517" s="219"/>
      <c r="I517" s="219"/>
      <c r="J517" s="219"/>
    </row>
    <row r="518" spans="1:10">
      <c r="A518" s="120"/>
      <c r="B518" s="219"/>
      <c r="C518" s="219"/>
      <c r="D518" s="219"/>
      <c r="E518" s="219"/>
      <c r="F518" s="219"/>
      <c r="G518" s="219"/>
      <c r="H518" s="219"/>
      <c r="I518" s="219"/>
      <c r="J518" s="219"/>
    </row>
    <row r="519" spans="1:10">
      <c r="A519" s="120"/>
      <c r="B519" s="219"/>
      <c r="C519" s="219"/>
      <c r="D519" s="219"/>
      <c r="E519" s="219"/>
      <c r="F519" s="219"/>
      <c r="G519" s="219"/>
      <c r="H519" s="219"/>
      <c r="I519" s="219"/>
      <c r="J519" s="219"/>
    </row>
    <row r="520" spans="1:10">
      <c r="A520" s="120"/>
      <c r="B520" s="219"/>
      <c r="C520" s="219"/>
      <c r="D520" s="219"/>
      <c r="E520" s="219"/>
      <c r="F520" s="219"/>
      <c r="G520" s="219"/>
      <c r="H520" s="219"/>
      <c r="I520" s="219"/>
      <c r="J520" s="219"/>
    </row>
    <row r="521" spans="1:10">
      <c r="A521" s="120"/>
      <c r="B521" s="219"/>
      <c r="C521" s="219"/>
      <c r="D521" s="219"/>
      <c r="E521" s="219"/>
      <c r="F521" s="219"/>
      <c r="G521" s="219"/>
      <c r="H521" s="219"/>
      <c r="I521" s="219"/>
      <c r="J521" s="219"/>
    </row>
    <row r="522" spans="1:10">
      <c r="A522" s="120"/>
      <c r="B522" s="219"/>
      <c r="C522" s="219"/>
      <c r="D522" s="219"/>
      <c r="E522" s="219"/>
      <c r="F522" s="219"/>
      <c r="G522" s="219"/>
      <c r="H522" s="219"/>
      <c r="I522" s="219"/>
      <c r="J522" s="219"/>
    </row>
    <row r="523" spans="1:10">
      <c r="A523" s="120"/>
      <c r="B523" s="219"/>
      <c r="C523" s="219"/>
      <c r="D523" s="219"/>
      <c r="E523" s="219"/>
      <c r="F523" s="219"/>
      <c r="G523" s="219"/>
      <c r="H523" s="219"/>
      <c r="I523" s="219"/>
      <c r="J523" s="219"/>
    </row>
    <row r="524" spans="1:10">
      <c r="A524" s="120"/>
      <c r="B524" s="219"/>
      <c r="C524" s="219"/>
      <c r="D524" s="219"/>
      <c r="E524" s="219"/>
      <c r="F524" s="219"/>
      <c r="G524" s="219"/>
      <c r="H524" s="219"/>
      <c r="I524" s="219"/>
      <c r="J524" s="219"/>
    </row>
    <row r="525" spans="1:10">
      <c r="A525" s="120"/>
      <c r="B525" s="219"/>
      <c r="C525" s="219"/>
      <c r="D525" s="219"/>
      <c r="E525" s="219"/>
      <c r="F525" s="219"/>
      <c r="G525" s="219"/>
      <c r="H525" s="219"/>
      <c r="I525" s="219"/>
      <c r="J525" s="219"/>
    </row>
    <row r="526" spans="1:10">
      <c r="A526" s="120"/>
      <c r="B526" s="219"/>
      <c r="C526" s="219"/>
      <c r="D526" s="219"/>
      <c r="E526" s="219"/>
      <c r="F526" s="219"/>
      <c r="G526" s="219"/>
      <c r="H526" s="219"/>
      <c r="I526" s="219"/>
      <c r="J526" s="219"/>
    </row>
    <row r="527" spans="1:10">
      <c r="A527" s="120"/>
      <c r="B527" s="219"/>
      <c r="C527" s="219"/>
      <c r="D527" s="219"/>
      <c r="E527" s="219"/>
      <c r="F527" s="219"/>
      <c r="G527" s="219"/>
      <c r="H527" s="219"/>
      <c r="I527" s="219"/>
      <c r="J527" s="219"/>
    </row>
    <row r="528" spans="1:10">
      <c r="A528" s="120"/>
      <c r="B528" s="219"/>
      <c r="C528" s="219"/>
      <c r="D528" s="219"/>
      <c r="E528" s="219"/>
      <c r="F528" s="219"/>
      <c r="G528" s="219"/>
      <c r="H528" s="219"/>
      <c r="I528" s="219"/>
      <c r="J528" s="219"/>
    </row>
    <row r="529" spans="1:10">
      <c r="A529" s="120"/>
      <c r="B529" s="219"/>
      <c r="C529" s="219"/>
      <c r="D529" s="219"/>
      <c r="E529" s="219"/>
      <c r="F529" s="219"/>
      <c r="G529" s="219"/>
      <c r="H529" s="219"/>
      <c r="I529" s="219"/>
      <c r="J529" s="219"/>
    </row>
    <row r="530" spans="1:10">
      <c r="A530" s="120"/>
      <c r="B530" s="219"/>
      <c r="C530" s="219"/>
      <c r="D530" s="219"/>
      <c r="E530" s="219"/>
      <c r="F530" s="219"/>
      <c r="G530" s="219"/>
      <c r="H530" s="219"/>
      <c r="I530" s="219"/>
      <c r="J530" s="219"/>
    </row>
    <row r="531" spans="1:10">
      <c r="A531" s="120"/>
      <c r="B531" s="219"/>
      <c r="C531" s="219"/>
      <c r="D531" s="219"/>
      <c r="E531" s="219"/>
      <c r="F531" s="219"/>
      <c r="G531" s="219"/>
      <c r="H531" s="219"/>
      <c r="I531" s="219"/>
      <c r="J531" s="219"/>
    </row>
    <row r="532" spans="1:10">
      <c r="A532" s="120"/>
      <c r="B532" s="219"/>
      <c r="C532" s="219"/>
      <c r="D532" s="219"/>
      <c r="E532" s="219"/>
      <c r="F532" s="219"/>
      <c r="G532" s="219"/>
      <c r="H532" s="219"/>
      <c r="I532" s="219"/>
      <c r="J532" s="219"/>
    </row>
    <row r="533" spans="1:10">
      <c r="A533" s="120"/>
      <c r="B533" s="219"/>
      <c r="C533" s="219"/>
      <c r="D533" s="219"/>
      <c r="E533" s="219"/>
      <c r="F533" s="219"/>
      <c r="G533" s="219"/>
      <c r="H533" s="219"/>
      <c r="I533" s="219"/>
      <c r="J533" s="219"/>
    </row>
    <row r="534" spans="1:10">
      <c r="A534" s="120"/>
      <c r="B534" s="219"/>
      <c r="C534" s="219"/>
      <c r="D534" s="219"/>
      <c r="E534" s="219"/>
      <c r="F534" s="219"/>
      <c r="G534" s="219"/>
      <c r="H534" s="219"/>
      <c r="I534" s="219"/>
      <c r="J534" s="219"/>
    </row>
    <row r="535" spans="1:10">
      <c r="A535" s="120"/>
      <c r="B535" s="219"/>
      <c r="C535" s="219"/>
      <c r="D535" s="219"/>
      <c r="E535" s="219"/>
      <c r="F535" s="219"/>
      <c r="G535" s="219"/>
      <c r="H535" s="219"/>
      <c r="I535" s="219"/>
      <c r="J535" s="219"/>
    </row>
    <row r="536" spans="1:10">
      <c r="A536" s="120"/>
      <c r="B536" s="219"/>
      <c r="C536" s="219"/>
      <c r="D536" s="219"/>
      <c r="E536" s="219"/>
      <c r="F536" s="219"/>
      <c r="G536" s="219"/>
      <c r="H536" s="219"/>
      <c r="I536" s="219"/>
      <c r="J536" s="219"/>
    </row>
    <row r="537" spans="1:10">
      <c r="A537" s="120"/>
      <c r="B537" s="219"/>
      <c r="C537" s="219"/>
      <c r="D537" s="219"/>
      <c r="E537" s="219"/>
      <c r="F537" s="219"/>
      <c r="G537" s="219"/>
      <c r="H537" s="219"/>
      <c r="I537" s="219"/>
      <c r="J537" s="219"/>
    </row>
    <row r="538" spans="1:10">
      <c r="A538" s="120"/>
      <c r="B538" s="219"/>
      <c r="C538" s="219"/>
      <c r="D538" s="219"/>
      <c r="E538" s="219"/>
      <c r="F538" s="219"/>
      <c r="G538" s="219"/>
      <c r="H538" s="219"/>
      <c r="I538" s="219"/>
      <c r="J538" s="219"/>
    </row>
    <row r="539" spans="1:10">
      <c r="A539" s="120"/>
      <c r="B539" s="219"/>
      <c r="C539" s="219"/>
      <c r="D539" s="219"/>
      <c r="E539" s="219"/>
      <c r="F539" s="219"/>
      <c r="G539" s="219"/>
      <c r="H539" s="219"/>
      <c r="I539" s="219"/>
      <c r="J539" s="219"/>
    </row>
    <row r="540" spans="1:10">
      <c r="A540" s="120"/>
      <c r="B540" s="219"/>
      <c r="C540" s="219"/>
      <c r="D540" s="219"/>
      <c r="E540" s="219"/>
      <c r="F540" s="219"/>
      <c r="G540" s="219"/>
      <c r="H540" s="219"/>
      <c r="I540" s="219"/>
      <c r="J540" s="219"/>
    </row>
    <row r="541" spans="1:10">
      <c r="A541" s="120"/>
      <c r="B541" s="219"/>
      <c r="C541" s="219"/>
      <c r="D541" s="219"/>
      <c r="E541" s="219"/>
      <c r="F541" s="219"/>
      <c r="G541" s="219"/>
      <c r="H541" s="219"/>
      <c r="I541" s="219"/>
      <c r="J541" s="219"/>
    </row>
    <row r="542" spans="1:10">
      <c r="A542" s="120"/>
      <c r="B542" s="219"/>
      <c r="C542" s="219"/>
      <c r="D542" s="219"/>
      <c r="E542" s="219"/>
      <c r="F542" s="219"/>
      <c r="G542" s="219"/>
      <c r="H542" s="219"/>
      <c r="I542" s="219"/>
      <c r="J542" s="219"/>
    </row>
    <row r="543" spans="1:10">
      <c r="A543" s="120"/>
      <c r="B543" s="219"/>
      <c r="C543" s="219"/>
      <c r="D543" s="219"/>
      <c r="E543" s="219"/>
      <c r="F543" s="219"/>
      <c r="G543" s="219"/>
      <c r="H543" s="219"/>
      <c r="I543" s="219"/>
      <c r="J543" s="219"/>
    </row>
    <row r="544" spans="1:10">
      <c r="A544" s="120"/>
      <c r="B544" s="219"/>
      <c r="C544" s="219"/>
      <c r="D544" s="219"/>
      <c r="E544" s="219"/>
      <c r="F544" s="219"/>
      <c r="G544" s="219"/>
      <c r="H544" s="219"/>
      <c r="I544" s="219"/>
      <c r="J544" s="219"/>
    </row>
    <row r="545" spans="1:10">
      <c r="A545" s="120"/>
      <c r="B545" s="219"/>
      <c r="C545" s="219"/>
      <c r="D545" s="219"/>
      <c r="E545" s="219"/>
      <c r="F545" s="219"/>
      <c r="G545" s="219"/>
      <c r="H545" s="219"/>
      <c r="I545" s="219"/>
      <c r="J545" s="219"/>
    </row>
    <row r="546" spans="1:10">
      <c r="A546" s="120"/>
      <c r="B546" s="219"/>
      <c r="C546" s="219"/>
      <c r="D546" s="219"/>
      <c r="E546" s="219"/>
      <c r="F546" s="219"/>
      <c r="G546" s="219"/>
      <c r="H546" s="219"/>
      <c r="I546" s="219"/>
      <c r="J546" s="219"/>
    </row>
    <row r="547" spans="1:10">
      <c r="A547" s="120"/>
      <c r="B547" s="219"/>
      <c r="C547" s="219"/>
      <c r="D547" s="219"/>
      <c r="E547" s="219"/>
      <c r="F547" s="219"/>
      <c r="G547" s="219"/>
      <c r="H547" s="219"/>
      <c r="I547" s="219"/>
      <c r="J547" s="219"/>
    </row>
    <row r="548" spans="1:10">
      <c r="A548" s="120"/>
      <c r="B548" s="219"/>
      <c r="C548" s="219"/>
      <c r="D548" s="219"/>
      <c r="E548" s="219"/>
      <c r="F548" s="219"/>
      <c r="G548" s="219"/>
      <c r="H548" s="219"/>
      <c r="I548" s="219"/>
      <c r="J548" s="219"/>
    </row>
    <row r="549" spans="1:10">
      <c r="A549" s="120"/>
      <c r="B549" s="219"/>
      <c r="C549" s="219"/>
      <c r="D549" s="219"/>
      <c r="E549" s="219"/>
      <c r="F549" s="219"/>
      <c r="G549" s="219"/>
      <c r="H549" s="219"/>
      <c r="I549" s="219"/>
      <c r="J549" s="219"/>
    </row>
    <row r="550" spans="1:10">
      <c r="A550" s="120"/>
      <c r="B550" s="219"/>
      <c r="C550" s="219"/>
      <c r="D550" s="219"/>
      <c r="E550" s="219"/>
      <c r="F550" s="219"/>
      <c r="G550" s="219"/>
      <c r="H550" s="219"/>
      <c r="I550" s="219"/>
      <c r="J550" s="219"/>
    </row>
    <row r="551" spans="1:10">
      <c r="A551" s="120"/>
      <c r="B551" s="219"/>
      <c r="C551" s="219"/>
      <c r="D551" s="219"/>
      <c r="E551" s="219"/>
      <c r="F551" s="219"/>
      <c r="G551" s="219"/>
      <c r="H551" s="219"/>
      <c r="I551" s="219"/>
      <c r="J551" s="219"/>
    </row>
    <row r="552" spans="1:10">
      <c r="A552" s="120"/>
      <c r="B552" s="219"/>
      <c r="C552" s="219"/>
      <c r="D552" s="219"/>
      <c r="E552" s="219"/>
      <c r="F552" s="219"/>
      <c r="G552" s="219"/>
      <c r="H552" s="219"/>
      <c r="I552" s="219"/>
      <c r="J552" s="219"/>
    </row>
    <row r="553" spans="1:10">
      <c r="A553" s="120"/>
      <c r="B553" s="219"/>
      <c r="C553" s="219"/>
      <c r="D553" s="219"/>
      <c r="E553" s="219"/>
      <c r="F553" s="219"/>
      <c r="G553" s="219"/>
      <c r="H553" s="219"/>
      <c r="I553" s="219"/>
      <c r="J553" s="219"/>
    </row>
    <row r="554" spans="1:10">
      <c r="A554" s="120"/>
      <c r="B554" s="219"/>
      <c r="C554" s="219"/>
      <c r="D554" s="219"/>
      <c r="E554" s="219"/>
      <c r="F554" s="219"/>
      <c r="G554" s="219"/>
      <c r="H554" s="219"/>
      <c r="I554" s="219"/>
      <c r="J554" s="219"/>
    </row>
    <row r="555" spans="1:10">
      <c r="A555" s="120"/>
      <c r="B555" s="219"/>
      <c r="C555" s="219"/>
      <c r="D555" s="219"/>
      <c r="E555" s="219"/>
      <c r="F555" s="219"/>
      <c r="G555" s="219"/>
      <c r="H555" s="219"/>
      <c r="I555" s="219"/>
      <c r="J555" s="219"/>
    </row>
    <row r="556" spans="1:10">
      <c r="A556" s="120"/>
      <c r="B556" s="219"/>
      <c r="C556" s="219"/>
      <c r="D556" s="219"/>
      <c r="E556" s="219"/>
      <c r="F556" s="219"/>
      <c r="G556" s="219"/>
      <c r="H556" s="219"/>
      <c r="I556" s="219"/>
      <c r="J556" s="219"/>
    </row>
    <row r="557" spans="1:10">
      <c r="A557" s="120"/>
      <c r="B557" s="219"/>
      <c r="C557" s="219"/>
      <c r="D557" s="219"/>
      <c r="E557" s="219"/>
      <c r="F557" s="219"/>
      <c r="G557" s="219"/>
      <c r="H557" s="219"/>
      <c r="I557" s="219"/>
      <c r="J557" s="219"/>
    </row>
    <row r="558" spans="1:10">
      <c r="A558" s="120"/>
      <c r="B558" s="219"/>
      <c r="C558" s="219"/>
      <c r="D558" s="219"/>
      <c r="E558" s="219"/>
      <c r="F558" s="219"/>
      <c r="G558" s="219"/>
      <c r="H558" s="219"/>
      <c r="I558" s="219"/>
      <c r="J558" s="219"/>
    </row>
    <row r="559" spans="1:10">
      <c r="A559" s="120"/>
      <c r="B559" s="219"/>
      <c r="C559" s="219"/>
      <c r="D559" s="219"/>
      <c r="E559" s="219"/>
      <c r="F559" s="219"/>
      <c r="G559" s="219"/>
      <c r="H559" s="219"/>
      <c r="I559" s="219"/>
      <c r="J559" s="219"/>
    </row>
    <row r="560" spans="1:10">
      <c r="A560" s="120"/>
      <c r="B560" s="219"/>
      <c r="C560" s="219"/>
      <c r="D560" s="219"/>
      <c r="E560" s="219"/>
      <c r="F560" s="219"/>
      <c r="G560" s="219"/>
      <c r="H560" s="219"/>
      <c r="I560" s="219"/>
      <c r="J560" s="219"/>
    </row>
    <row r="561" spans="1:10">
      <c r="A561" s="120"/>
      <c r="B561" s="219"/>
      <c r="C561" s="219"/>
      <c r="D561" s="219"/>
      <c r="E561" s="219"/>
      <c r="F561" s="219"/>
      <c r="G561" s="219"/>
      <c r="H561" s="219"/>
      <c r="I561" s="219"/>
      <c r="J561" s="219"/>
    </row>
    <row r="562" spans="1:10">
      <c r="A562" s="120"/>
      <c r="B562" s="219"/>
      <c r="C562" s="219"/>
      <c r="D562" s="219"/>
      <c r="E562" s="219"/>
      <c r="F562" s="219"/>
      <c r="G562" s="219"/>
      <c r="H562" s="219"/>
      <c r="I562" s="219"/>
      <c r="J562" s="219"/>
    </row>
    <row r="563" spans="1:10">
      <c r="A563" s="120"/>
      <c r="B563" s="219"/>
      <c r="C563" s="219"/>
      <c r="D563" s="219"/>
      <c r="E563" s="219"/>
      <c r="F563" s="219"/>
      <c r="G563" s="219"/>
      <c r="H563" s="219"/>
      <c r="I563" s="219"/>
      <c r="J563" s="219"/>
    </row>
    <row r="564" spans="1:10">
      <c r="A564" s="120"/>
      <c r="B564" s="219"/>
      <c r="C564" s="219"/>
      <c r="D564" s="219"/>
      <c r="E564" s="219"/>
      <c r="F564" s="219"/>
      <c r="G564" s="219"/>
      <c r="H564" s="219"/>
      <c r="I564" s="219"/>
      <c r="J564" s="219"/>
    </row>
    <row r="565" spans="1:10">
      <c r="A565" s="120"/>
      <c r="B565" s="219"/>
      <c r="C565" s="219"/>
      <c r="D565" s="219"/>
      <c r="E565" s="219"/>
      <c r="F565" s="219"/>
      <c r="G565" s="219"/>
      <c r="H565" s="219"/>
      <c r="I565" s="219"/>
      <c r="J565" s="219"/>
    </row>
    <row r="566" spans="1:10">
      <c r="A566" s="120"/>
      <c r="B566" s="219"/>
      <c r="C566" s="219"/>
      <c r="D566" s="219"/>
      <c r="E566" s="219"/>
      <c r="F566" s="219"/>
      <c r="G566" s="219"/>
      <c r="H566" s="219"/>
      <c r="I566" s="219"/>
      <c r="J566" s="219"/>
    </row>
    <row r="567" spans="1:10">
      <c r="A567" s="120"/>
      <c r="B567" s="219"/>
      <c r="C567" s="219"/>
      <c r="D567" s="219"/>
      <c r="E567" s="219"/>
      <c r="F567" s="219"/>
      <c r="G567" s="219"/>
      <c r="H567" s="219"/>
      <c r="I567" s="219"/>
      <c r="J567" s="219"/>
    </row>
    <row r="568" spans="1:10">
      <c r="A568" s="120"/>
      <c r="B568" s="219"/>
      <c r="C568" s="219"/>
      <c r="D568" s="219"/>
      <c r="E568" s="219"/>
      <c r="F568" s="219"/>
      <c r="G568" s="219"/>
      <c r="H568" s="219"/>
      <c r="I568" s="219"/>
      <c r="J568" s="219"/>
    </row>
    <row r="569" spans="1:10">
      <c r="A569" s="120"/>
      <c r="B569" s="219"/>
      <c r="C569" s="219"/>
      <c r="D569" s="219"/>
      <c r="E569" s="219"/>
      <c r="F569" s="219"/>
      <c r="G569" s="219"/>
      <c r="H569" s="219"/>
      <c r="I569" s="219"/>
      <c r="J569" s="219"/>
    </row>
    <row r="570" spans="1:10">
      <c r="A570" s="120"/>
      <c r="B570" s="219"/>
      <c r="C570" s="219"/>
      <c r="D570" s="219"/>
      <c r="E570" s="219"/>
      <c r="F570" s="219"/>
      <c r="G570" s="219"/>
      <c r="H570" s="219"/>
      <c r="I570" s="219"/>
      <c r="J570" s="219"/>
    </row>
    <row r="571" spans="1:10">
      <c r="A571" s="120"/>
      <c r="B571" s="219"/>
      <c r="C571" s="219"/>
      <c r="D571" s="219"/>
      <c r="E571" s="219"/>
      <c r="F571" s="219"/>
      <c r="G571" s="219"/>
      <c r="H571" s="219"/>
      <c r="I571" s="219"/>
      <c r="J571" s="219"/>
    </row>
    <row r="572" spans="1:10">
      <c r="A572" s="120"/>
      <c r="B572" s="219"/>
      <c r="C572" s="219"/>
      <c r="D572" s="219"/>
      <c r="E572" s="219"/>
      <c r="F572" s="219"/>
      <c r="G572" s="219"/>
      <c r="H572" s="219"/>
      <c r="I572" s="219"/>
      <c r="J572" s="219"/>
    </row>
    <row r="573" spans="1:10">
      <c r="A573" s="120"/>
      <c r="B573" s="219"/>
      <c r="C573" s="219"/>
      <c r="D573" s="219"/>
      <c r="E573" s="219"/>
      <c r="F573" s="219"/>
      <c r="G573" s="219"/>
      <c r="H573" s="219"/>
      <c r="I573" s="219"/>
      <c r="J573" s="219"/>
    </row>
    <row r="574" spans="1:10">
      <c r="A574" s="120"/>
      <c r="B574" s="219"/>
      <c r="C574" s="219"/>
      <c r="D574" s="219"/>
      <c r="E574" s="219"/>
      <c r="F574" s="219"/>
      <c r="G574" s="219"/>
      <c r="H574" s="219"/>
      <c r="I574" s="219"/>
      <c r="J574" s="219"/>
    </row>
    <row r="575" spans="1:10">
      <c r="A575" s="120"/>
      <c r="B575" s="219"/>
      <c r="C575" s="219"/>
      <c r="D575" s="219"/>
      <c r="E575" s="219"/>
      <c r="F575" s="219"/>
      <c r="G575" s="219"/>
      <c r="H575" s="219"/>
      <c r="I575" s="219"/>
      <c r="J575" s="219"/>
    </row>
    <row r="576" spans="1:10">
      <c r="A576" s="120"/>
      <c r="B576" s="219"/>
      <c r="C576" s="219"/>
      <c r="D576" s="219"/>
      <c r="E576" s="219"/>
      <c r="F576" s="219"/>
      <c r="G576" s="219"/>
      <c r="H576" s="219"/>
      <c r="I576" s="219"/>
      <c r="J576" s="219"/>
    </row>
    <row r="577" spans="1:10">
      <c r="A577" s="120"/>
      <c r="B577" s="219"/>
      <c r="C577" s="219"/>
      <c r="D577" s="219"/>
      <c r="E577" s="219"/>
      <c r="F577" s="219"/>
      <c r="G577" s="219"/>
      <c r="H577" s="219"/>
      <c r="I577" s="219"/>
      <c r="J577" s="219"/>
    </row>
    <row r="578" spans="1:10">
      <c r="A578" s="120"/>
      <c r="B578" s="219"/>
      <c r="C578" s="219"/>
      <c r="D578" s="219"/>
      <c r="E578" s="219"/>
      <c r="F578" s="219"/>
      <c r="G578" s="219"/>
      <c r="H578" s="219"/>
      <c r="I578" s="219"/>
      <c r="J578" s="219"/>
    </row>
    <row r="579" spans="1:10">
      <c r="A579" s="120"/>
      <c r="B579" s="219"/>
      <c r="C579" s="219"/>
      <c r="D579" s="219"/>
      <c r="E579" s="219"/>
      <c r="F579" s="219"/>
      <c r="G579" s="219"/>
      <c r="H579" s="219"/>
      <c r="I579" s="219"/>
      <c r="J579" s="219"/>
    </row>
    <row r="580" spans="1:10">
      <c r="A580" s="120"/>
      <c r="B580" s="219"/>
      <c r="C580" s="219"/>
      <c r="D580" s="219"/>
      <c r="E580" s="219"/>
      <c r="F580" s="219"/>
      <c r="G580" s="219"/>
      <c r="H580" s="219"/>
      <c r="I580" s="219"/>
      <c r="J580" s="219"/>
    </row>
    <row r="581" spans="1:10">
      <c r="A581" s="120"/>
      <c r="B581" s="219"/>
      <c r="C581" s="219"/>
      <c r="D581" s="219"/>
      <c r="E581" s="219"/>
      <c r="F581" s="219"/>
      <c r="G581" s="219"/>
      <c r="H581" s="219"/>
      <c r="I581" s="219"/>
      <c r="J581" s="219"/>
    </row>
    <row r="582" spans="1:10">
      <c r="A582" s="120"/>
      <c r="B582" s="219"/>
      <c r="C582" s="219"/>
      <c r="D582" s="219"/>
      <c r="E582" s="219"/>
      <c r="F582" s="219"/>
      <c r="G582" s="219"/>
      <c r="H582" s="219"/>
      <c r="I582" s="219"/>
      <c r="J582" s="219"/>
    </row>
    <row r="583" spans="1:10">
      <c r="A583" s="120"/>
      <c r="B583" s="219"/>
      <c r="C583" s="219"/>
      <c r="D583" s="219"/>
      <c r="E583" s="219"/>
      <c r="F583" s="219"/>
      <c r="G583" s="219"/>
      <c r="H583" s="219"/>
      <c r="I583" s="219"/>
      <c r="J583" s="219"/>
    </row>
    <row r="584" spans="1:10">
      <c r="A584" s="120"/>
      <c r="B584" s="219"/>
      <c r="C584" s="219"/>
      <c r="D584" s="219"/>
      <c r="E584" s="219"/>
      <c r="F584" s="219"/>
      <c r="G584" s="219"/>
      <c r="H584" s="219"/>
      <c r="I584" s="219"/>
      <c r="J584" s="219"/>
    </row>
    <row r="585" spans="1:10">
      <c r="A585" s="120"/>
      <c r="B585" s="219"/>
      <c r="C585" s="219"/>
      <c r="D585" s="219"/>
      <c r="E585" s="219"/>
      <c r="F585" s="219"/>
      <c r="G585" s="219"/>
      <c r="H585" s="219"/>
      <c r="I585" s="219"/>
      <c r="J585" s="219"/>
    </row>
    <row r="586" spans="1:10">
      <c r="A586" s="120"/>
      <c r="B586" s="219"/>
      <c r="C586" s="219"/>
      <c r="D586" s="219"/>
      <c r="E586" s="219"/>
      <c r="F586" s="219"/>
      <c r="G586" s="219"/>
      <c r="H586" s="219"/>
      <c r="I586" s="219"/>
      <c r="J586" s="219"/>
    </row>
    <row r="587" spans="1:10">
      <c r="A587" s="120"/>
      <c r="B587" s="219"/>
      <c r="C587" s="219"/>
      <c r="D587" s="219"/>
      <c r="E587" s="219"/>
      <c r="F587" s="219"/>
      <c r="G587" s="219"/>
      <c r="H587" s="219"/>
      <c r="I587" s="219"/>
      <c r="J587" s="219"/>
    </row>
    <row r="588" spans="1:10">
      <c r="A588" s="120"/>
      <c r="B588" s="219"/>
      <c r="C588" s="219"/>
      <c r="D588" s="219"/>
      <c r="E588" s="219"/>
      <c r="F588" s="219"/>
      <c r="G588" s="219"/>
      <c r="H588" s="219"/>
      <c r="I588" s="219"/>
      <c r="J588" s="219"/>
    </row>
    <row r="589" spans="1:10">
      <c r="A589" s="120"/>
      <c r="B589" s="219"/>
      <c r="C589" s="219"/>
      <c r="D589" s="219"/>
      <c r="E589" s="219"/>
      <c r="F589" s="219"/>
      <c r="G589" s="219"/>
      <c r="H589" s="219"/>
      <c r="I589" s="219"/>
      <c r="J589" s="219"/>
    </row>
    <row r="590" spans="1:10">
      <c r="A590" s="120"/>
      <c r="B590" s="219"/>
      <c r="C590" s="219"/>
      <c r="D590" s="219"/>
      <c r="E590" s="219"/>
      <c r="F590" s="219"/>
      <c r="G590" s="219"/>
      <c r="H590" s="219"/>
      <c r="I590" s="219"/>
      <c r="J590" s="219"/>
    </row>
    <row r="591" spans="1:10">
      <c r="A591" s="120"/>
      <c r="B591" s="219"/>
      <c r="C591" s="219"/>
      <c r="D591" s="219"/>
      <c r="E591" s="219"/>
      <c r="F591" s="219"/>
      <c r="G591" s="219"/>
      <c r="H591" s="219"/>
      <c r="I591" s="219"/>
      <c r="J591" s="219"/>
    </row>
    <row r="592" spans="1:10">
      <c r="A592" s="120"/>
      <c r="B592" s="219"/>
      <c r="C592" s="219"/>
      <c r="D592" s="219"/>
      <c r="E592" s="219"/>
      <c r="F592" s="219"/>
      <c r="G592" s="219"/>
      <c r="H592" s="219"/>
      <c r="I592" s="219"/>
      <c r="J592" s="219"/>
    </row>
    <row r="593" spans="1:10">
      <c r="A593" s="120"/>
      <c r="B593" s="219"/>
      <c r="C593" s="219"/>
      <c r="D593" s="219"/>
      <c r="E593" s="219"/>
      <c r="F593" s="219"/>
      <c r="G593" s="219"/>
      <c r="H593" s="219"/>
      <c r="I593" s="219"/>
      <c r="J593" s="219"/>
    </row>
    <row r="594" spans="1:10">
      <c r="A594" s="120"/>
      <c r="B594" s="219"/>
      <c r="C594" s="219"/>
      <c r="D594" s="219"/>
      <c r="E594" s="219"/>
      <c r="F594" s="219"/>
      <c r="G594" s="219"/>
      <c r="H594" s="219"/>
      <c r="I594" s="219"/>
      <c r="J594" s="219"/>
    </row>
    <row r="595" spans="1:10">
      <c r="A595" s="120"/>
      <c r="B595" s="219"/>
      <c r="C595" s="219"/>
      <c r="D595" s="219"/>
      <c r="E595" s="219"/>
      <c r="F595" s="219"/>
      <c r="G595" s="219"/>
      <c r="H595" s="219"/>
      <c r="I595" s="219"/>
      <c r="J595" s="219"/>
    </row>
    <row r="596" spans="1:10">
      <c r="A596" s="120"/>
      <c r="B596" s="219"/>
      <c r="C596" s="219"/>
      <c r="D596" s="219"/>
      <c r="E596" s="219"/>
      <c r="F596" s="219"/>
      <c r="G596" s="219"/>
      <c r="H596" s="219"/>
      <c r="I596" s="219"/>
      <c r="J596" s="219"/>
    </row>
    <row r="597" spans="1:10">
      <c r="A597" s="120"/>
      <c r="B597" s="219"/>
      <c r="C597" s="219"/>
      <c r="D597" s="219"/>
      <c r="E597" s="219"/>
      <c r="F597" s="219"/>
      <c r="G597" s="219"/>
      <c r="H597" s="219"/>
      <c r="I597" s="219"/>
      <c r="J597" s="219"/>
    </row>
    <row r="598" spans="1:10">
      <c r="A598" s="120"/>
      <c r="B598" s="219"/>
      <c r="C598" s="219"/>
      <c r="D598" s="219"/>
      <c r="E598" s="219"/>
      <c r="F598" s="219"/>
      <c r="G598" s="219"/>
      <c r="H598" s="219"/>
      <c r="I598" s="219"/>
      <c r="J598" s="219"/>
    </row>
    <row r="599" spans="1:10">
      <c r="A599" s="120"/>
      <c r="B599" s="219"/>
      <c r="C599" s="219"/>
      <c r="D599" s="219"/>
      <c r="E599" s="219"/>
      <c r="F599" s="219"/>
      <c r="G599" s="219"/>
      <c r="H599" s="219"/>
      <c r="I599" s="219"/>
      <c r="J599" s="219"/>
    </row>
    <row r="600" spans="1:10">
      <c r="A600" s="120"/>
      <c r="B600" s="219"/>
      <c r="C600" s="219"/>
      <c r="D600" s="219"/>
      <c r="E600" s="219"/>
      <c r="F600" s="219"/>
      <c r="G600" s="219"/>
      <c r="H600" s="219"/>
      <c r="I600" s="219"/>
      <c r="J600" s="219"/>
    </row>
    <row r="601" spans="1:10">
      <c r="A601" s="120"/>
      <c r="B601" s="219"/>
      <c r="C601" s="219"/>
      <c r="D601" s="219"/>
      <c r="E601" s="219"/>
      <c r="F601" s="219"/>
      <c r="G601" s="219"/>
      <c r="H601" s="219"/>
      <c r="I601" s="219"/>
      <c r="J601" s="219"/>
    </row>
    <row r="602" spans="1:10">
      <c r="A602" s="120"/>
      <c r="B602" s="219"/>
      <c r="C602" s="219"/>
      <c r="D602" s="219"/>
      <c r="E602" s="219"/>
      <c r="F602" s="219"/>
      <c r="G602" s="219"/>
      <c r="H602" s="219"/>
      <c r="I602" s="219"/>
      <c r="J602" s="219"/>
    </row>
    <row r="603" spans="1:10">
      <c r="A603" s="120"/>
      <c r="B603" s="219"/>
      <c r="C603" s="219"/>
      <c r="D603" s="219"/>
      <c r="E603" s="219"/>
      <c r="F603" s="219"/>
      <c r="G603" s="219"/>
      <c r="H603" s="219"/>
      <c r="I603" s="219"/>
      <c r="J603" s="219"/>
    </row>
    <row r="604" spans="1:10">
      <c r="A604" s="120"/>
      <c r="B604" s="219"/>
      <c r="C604" s="219"/>
      <c r="D604" s="219"/>
      <c r="E604" s="219"/>
      <c r="F604" s="219"/>
      <c r="G604" s="219"/>
      <c r="H604" s="219"/>
      <c r="I604" s="219"/>
      <c r="J604" s="219"/>
    </row>
    <row r="605" spans="1:10">
      <c r="A605" s="120"/>
      <c r="B605" s="219"/>
      <c r="C605" s="219"/>
      <c r="D605" s="219"/>
      <c r="E605" s="219"/>
      <c r="F605" s="219"/>
      <c r="G605" s="219"/>
      <c r="H605" s="219"/>
      <c r="I605" s="219"/>
      <c r="J605" s="219"/>
    </row>
    <row r="606" spans="1:10">
      <c r="A606" s="120"/>
      <c r="B606" s="219"/>
      <c r="C606" s="219"/>
      <c r="D606" s="219"/>
      <c r="E606" s="219"/>
      <c r="F606" s="219"/>
      <c r="G606" s="219"/>
      <c r="H606" s="219"/>
      <c r="I606" s="219"/>
      <c r="J606" s="219"/>
    </row>
    <row r="607" spans="1:10">
      <c r="A607" s="120"/>
      <c r="B607" s="219"/>
      <c r="C607" s="219"/>
      <c r="D607" s="219"/>
      <c r="E607" s="219"/>
      <c r="F607" s="219"/>
      <c r="G607" s="219"/>
      <c r="H607" s="219"/>
      <c r="I607" s="219"/>
      <c r="J607" s="219"/>
    </row>
    <row r="608" spans="1:10">
      <c r="A608" s="120"/>
      <c r="B608" s="219"/>
      <c r="C608" s="219"/>
      <c r="D608" s="219"/>
      <c r="E608" s="219"/>
      <c r="F608" s="219"/>
      <c r="G608" s="219"/>
      <c r="H608" s="219"/>
      <c r="I608" s="219"/>
      <c r="J608" s="219"/>
    </row>
    <row r="609" spans="1:10">
      <c r="A609" s="120"/>
      <c r="B609" s="219"/>
      <c r="C609" s="219"/>
      <c r="D609" s="219"/>
      <c r="E609" s="219"/>
      <c r="F609" s="219"/>
      <c r="G609" s="219"/>
      <c r="H609" s="219"/>
      <c r="I609" s="219"/>
      <c r="J609" s="219"/>
    </row>
    <row r="610" spans="1:10">
      <c r="A610" s="120"/>
      <c r="B610" s="219"/>
      <c r="C610" s="219"/>
      <c r="D610" s="219"/>
      <c r="E610" s="219"/>
      <c r="F610" s="219"/>
      <c r="G610" s="219"/>
      <c r="H610" s="219"/>
      <c r="I610" s="219"/>
      <c r="J610" s="219"/>
    </row>
    <row r="611" spans="1:10">
      <c r="A611" s="120"/>
      <c r="B611" s="219"/>
      <c r="C611" s="219"/>
      <c r="D611" s="219"/>
      <c r="E611" s="219"/>
      <c r="F611" s="219"/>
      <c r="G611" s="219"/>
      <c r="H611" s="219"/>
      <c r="I611" s="219"/>
      <c r="J611" s="219"/>
    </row>
    <row r="612" spans="1:10">
      <c r="A612" s="120"/>
      <c r="B612" s="219"/>
      <c r="C612" s="219"/>
      <c r="D612" s="219"/>
      <c r="E612" s="219"/>
      <c r="F612" s="219"/>
      <c r="G612" s="219"/>
      <c r="H612" s="219"/>
      <c r="I612" s="219"/>
      <c r="J612" s="219"/>
    </row>
    <row r="613" spans="1:10">
      <c r="A613" s="120"/>
      <c r="B613" s="219"/>
      <c r="C613" s="219"/>
      <c r="D613" s="219"/>
      <c r="E613" s="219"/>
      <c r="F613" s="219"/>
      <c r="G613" s="219"/>
      <c r="H613" s="219"/>
      <c r="I613" s="219"/>
      <c r="J613" s="219"/>
    </row>
    <row r="614" spans="1:10">
      <c r="A614" s="120"/>
      <c r="B614" s="219"/>
      <c r="C614" s="219"/>
      <c r="D614" s="219"/>
      <c r="E614" s="219"/>
      <c r="F614" s="219"/>
      <c r="G614" s="219"/>
      <c r="H614" s="219"/>
      <c r="I614" s="219"/>
      <c r="J614" s="219"/>
    </row>
    <row r="615" spans="1:10">
      <c r="A615" s="120"/>
      <c r="B615" s="219"/>
      <c r="C615" s="219"/>
      <c r="D615" s="219"/>
      <c r="E615" s="219"/>
      <c r="F615" s="219"/>
      <c r="G615" s="219"/>
      <c r="H615" s="219"/>
      <c r="I615" s="219"/>
      <c r="J615" s="219"/>
    </row>
    <row r="616" spans="1:10">
      <c r="A616" s="120"/>
      <c r="B616" s="219"/>
      <c r="C616" s="219"/>
      <c r="D616" s="219"/>
      <c r="E616" s="219"/>
      <c r="F616" s="219"/>
      <c r="G616" s="219"/>
      <c r="H616" s="219"/>
      <c r="I616" s="219"/>
      <c r="J616" s="219"/>
    </row>
    <row r="617" spans="1:10">
      <c r="A617" s="120"/>
      <c r="B617" s="219"/>
      <c r="C617" s="219"/>
      <c r="D617" s="219"/>
      <c r="E617" s="219"/>
      <c r="F617" s="219"/>
      <c r="G617" s="219"/>
      <c r="H617" s="219"/>
      <c r="I617" s="219"/>
      <c r="J617" s="219"/>
    </row>
    <row r="618" spans="1:10">
      <c r="A618" s="120"/>
      <c r="B618" s="219"/>
      <c r="C618" s="219"/>
      <c r="D618" s="219"/>
      <c r="E618" s="219"/>
      <c r="F618" s="219"/>
      <c r="G618" s="219"/>
      <c r="H618" s="219"/>
      <c r="I618" s="219"/>
      <c r="J618" s="219"/>
    </row>
    <row r="619" spans="1:10">
      <c r="A619" s="120"/>
      <c r="B619" s="219"/>
      <c r="C619" s="219"/>
      <c r="D619" s="219"/>
      <c r="E619" s="219"/>
      <c r="F619" s="219"/>
      <c r="G619" s="219"/>
      <c r="H619" s="219"/>
      <c r="I619" s="219"/>
      <c r="J619" s="219"/>
    </row>
    <row r="620" spans="1:10">
      <c r="A620" s="120"/>
      <c r="B620" s="219"/>
      <c r="C620" s="219"/>
      <c r="D620" s="219"/>
      <c r="E620" s="219"/>
      <c r="F620" s="219"/>
      <c r="G620" s="219"/>
      <c r="H620" s="219"/>
      <c r="I620" s="219"/>
      <c r="J620" s="219"/>
    </row>
    <row r="621" spans="1:10">
      <c r="A621" s="120"/>
      <c r="B621" s="219"/>
      <c r="C621" s="219"/>
      <c r="D621" s="219"/>
      <c r="E621" s="219"/>
      <c r="F621" s="219"/>
      <c r="G621" s="219"/>
      <c r="H621" s="219"/>
      <c r="I621" s="219"/>
      <c r="J621" s="219"/>
    </row>
    <row r="622" spans="1:10">
      <c r="A622" s="120"/>
      <c r="B622" s="219"/>
      <c r="C622" s="219"/>
      <c r="D622" s="219"/>
      <c r="E622" s="219"/>
      <c r="F622" s="219"/>
      <c r="G622" s="219"/>
      <c r="H622" s="219"/>
      <c r="I622" s="219"/>
      <c r="J622" s="219"/>
    </row>
    <row r="623" spans="1:10">
      <c r="A623" s="120"/>
      <c r="B623" s="219"/>
      <c r="C623" s="219"/>
      <c r="D623" s="219"/>
      <c r="E623" s="219"/>
      <c r="F623" s="219"/>
      <c r="G623" s="219"/>
      <c r="H623" s="219"/>
      <c r="I623" s="219"/>
      <c r="J623" s="219"/>
    </row>
    <row r="624" spans="1:10">
      <c r="A624" s="120"/>
      <c r="B624" s="219"/>
      <c r="C624" s="219"/>
      <c r="D624" s="219"/>
      <c r="E624" s="219"/>
      <c r="F624" s="219"/>
      <c r="G624" s="219"/>
      <c r="H624" s="219"/>
      <c r="I624" s="219"/>
      <c r="J624" s="219"/>
    </row>
    <row r="625" spans="1:10">
      <c r="A625" s="120"/>
      <c r="B625" s="219"/>
      <c r="C625" s="219"/>
      <c r="D625" s="219"/>
      <c r="E625" s="219"/>
      <c r="F625" s="219"/>
      <c r="G625" s="219"/>
      <c r="H625" s="219"/>
      <c r="I625" s="219"/>
      <c r="J625" s="219"/>
    </row>
    <row r="626" spans="1:10">
      <c r="A626" s="120"/>
      <c r="B626" s="219"/>
      <c r="C626" s="219"/>
      <c r="D626" s="219"/>
      <c r="E626" s="219"/>
      <c r="F626" s="219"/>
      <c r="G626" s="219"/>
      <c r="H626" s="219"/>
      <c r="I626" s="219"/>
      <c r="J626" s="219"/>
    </row>
    <row r="627" spans="1:10">
      <c r="A627" s="120"/>
      <c r="B627" s="219"/>
      <c r="C627" s="219"/>
      <c r="D627" s="219"/>
      <c r="E627" s="219"/>
      <c r="F627" s="219"/>
      <c r="G627" s="219"/>
      <c r="H627" s="219"/>
      <c r="I627" s="219"/>
      <c r="J627" s="219"/>
    </row>
    <row r="628" spans="1:10">
      <c r="A628" s="120"/>
      <c r="B628" s="219"/>
      <c r="C628" s="219"/>
      <c r="D628" s="219"/>
      <c r="E628" s="219"/>
      <c r="F628" s="219"/>
      <c r="G628" s="219"/>
      <c r="H628" s="219"/>
      <c r="I628" s="219"/>
      <c r="J628" s="219"/>
    </row>
    <row r="629" spans="1:10">
      <c r="A629" s="120"/>
      <c r="B629" s="219"/>
      <c r="C629" s="219"/>
      <c r="D629" s="219"/>
      <c r="E629" s="219"/>
      <c r="F629" s="219"/>
      <c r="G629" s="219"/>
      <c r="H629" s="219"/>
      <c r="I629" s="219"/>
      <c r="J629" s="219"/>
    </row>
    <row r="630" spans="1:10">
      <c r="A630" s="120"/>
      <c r="B630" s="219"/>
      <c r="C630" s="219"/>
      <c r="D630" s="219"/>
      <c r="E630" s="219"/>
      <c r="F630" s="219"/>
      <c r="G630" s="219"/>
      <c r="H630" s="219"/>
      <c r="I630" s="219"/>
      <c r="J630" s="219"/>
    </row>
    <row r="631" spans="1:10">
      <c r="A631" s="120"/>
      <c r="B631" s="219"/>
      <c r="C631" s="219"/>
      <c r="D631" s="219"/>
      <c r="E631" s="219"/>
      <c r="F631" s="219"/>
      <c r="G631" s="219"/>
      <c r="H631" s="219"/>
      <c r="I631" s="219"/>
      <c r="J631" s="219"/>
    </row>
    <row r="632" spans="1:10">
      <c r="A632" s="120"/>
      <c r="B632" s="219"/>
      <c r="C632" s="219"/>
      <c r="D632" s="219"/>
      <c r="E632" s="219"/>
      <c r="F632" s="219"/>
      <c r="G632" s="219"/>
      <c r="H632" s="219"/>
      <c r="I632" s="219"/>
      <c r="J632" s="219"/>
    </row>
    <row r="633" spans="1:10">
      <c r="A633" s="120"/>
      <c r="B633" s="219"/>
      <c r="C633" s="219"/>
      <c r="D633" s="219"/>
      <c r="E633" s="219"/>
      <c r="F633" s="219"/>
      <c r="G633" s="219"/>
      <c r="H633" s="219"/>
      <c r="I633" s="219"/>
      <c r="J633" s="219"/>
    </row>
    <row r="634" spans="1:10">
      <c r="A634" s="120"/>
      <c r="B634" s="219"/>
      <c r="C634" s="219"/>
      <c r="D634" s="219"/>
      <c r="E634" s="219"/>
      <c r="F634" s="219"/>
      <c r="G634" s="219"/>
      <c r="H634" s="219"/>
      <c r="I634" s="219"/>
      <c r="J634" s="219"/>
    </row>
    <row r="635" spans="1:10">
      <c r="A635" s="120"/>
      <c r="B635" s="219"/>
      <c r="C635" s="219"/>
      <c r="D635" s="219"/>
      <c r="E635" s="219"/>
      <c r="F635" s="219"/>
      <c r="G635" s="219"/>
      <c r="H635" s="219"/>
      <c r="I635" s="219"/>
      <c r="J635" s="219"/>
    </row>
    <row r="636" spans="1:10">
      <c r="A636" s="120"/>
      <c r="B636" s="219"/>
      <c r="C636" s="219"/>
      <c r="D636" s="219"/>
      <c r="E636" s="219"/>
      <c r="F636" s="219"/>
      <c r="G636" s="219"/>
      <c r="H636" s="219"/>
      <c r="I636" s="219"/>
      <c r="J636" s="219"/>
    </row>
    <row r="637" spans="1:10">
      <c r="A637" s="120"/>
      <c r="B637" s="219"/>
      <c r="C637" s="219"/>
      <c r="D637" s="219"/>
      <c r="E637" s="219"/>
      <c r="F637" s="219"/>
      <c r="G637" s="219"/>
      <c r="H637" s="219"/>
      <c r="I637" s="219"/>
      <c r="J637" s="219"/>
    </row>
    <row r="638" spans="1:10">
      <c r="A638" s="120"/>
      <c r="B638" s="219"/>
      <c r="C638" s="219"/>
      <c r="D638" s="219"/>
      <c r="E638" s="219"/>
      <c r="F638" s="219"/>
      <c r="G638" s="219"/>
      <c r="H638" s="219"/>
      <c r="I638" s="219"/>
      <c r="J638" s="219"/>
    </row>
    <row r="639" spans="1:10">
      <c r="A639" s="120"/>
      <c r="B639" s="219"/>
      <c r="C639" s="219"/>
      <c r="D639" s="219"/>
      <c r="E639" s="219"/>
      <c r="F639" s="219"/>
      <c r="G639" s="219"/>
      <c r="H639" s="219"/>
      <c r="I639" s="219"/>
      <c r="J639" s="219"/>
    </row>
    <row r="640" spans="1:10">
      <c r="A640" s="120"/>
      <c r="B640" s="219"/>
      <c r="C640" s="219"/>
      <c r="D640" s="219"/>
      <c r="E640" s="219"/>
      <c r="F640" s="219"/>
      <c r="G640" s="219"/>
      <c r="H640" s="219"/>
      <c r="I640" s="219"/>
      <c r="J640" s="219"/>
    </row>
    <row r="641" spans="1:10">
      <c r="A641" s="120"/>
      <c r="B641" s="219"/>
      <c r="C641" s="219"/>
      <c r="D641" s="219"/>
      <c r="E641" s="219"/>
      <c r="F641" s="219"/>
      <c r="G641" s="219"/>
      <c r="H641" s="219"/>
      <c r="I641" s="219"/>
      <c r="J641" s="219"/>
    </row>
    <row r="642" spans="1:10">
      <c r="A642" s="120"/>
      <c r="B642" s="219"/>
      <c r="C642" s="219"/>
      <c r="D642" s="219"/>
      <c r="E642" s="219"/>
      <c r="F642" s="219"/>
      <c r="G642" s="219"/>
      <c r="H642" s="219"/>
      <c r="I642" s="219"/>
      <c r="J642" s="219"/>
    </row>
    <row r="643" spans="1:10">
      <c r="A643" s="120"/>
      <c r="B643" s="219"/>
      <c r="C643" s="219"/>
      <c r="D643" s="219"/>
      <c r="E643" s="219"/>
      <c r="F643" s="219"/>
      <c r="G643" s="219"/>
      <c r="H643" s="219"/>
      <c r="I643" s="219"/>
      <c r="J643" s="219"/>
    </row>
    <row r="644" spans="1:10">
      <c r="A644" s="120"/>
      <c r="B644" s="219"/>
      <c r="C644" s="219"/>
      <c r="D644" s="219"/>
      <c r="E644" s="219"/>
      <c r="F644" s="219"/>
      <c r="G644" s="219"/>
      <c r="H644" s="219"/>
      <c r="I644" s="219"/>
      <c r="J644" s="219"/>
    </row>
    <row r="645" spans="1:10">
      <c r="A645" s="120"/>
      <c r="B645" s="219"/>
      <c r="C645" s="219"/>
      <c r="D645" s="219"/>
      <c r="E645" s="219"/>
      <c r="F645" s="219"/>
      <c r="G645" s="219"/>
      <c r="H645" s="219"/>
      <c r="I645" s="219"/>
      <c r="J645" s="219"/>
    </row>
    <row r="646" spans="1:10">
      <c r="A646" s="120"/>
      <c r="B646" s="219"/>
      <c r="C646" s="219"/>
      <c r="D646" s="219"/>
      <c r="E646" s="219"/>
      <c r="F646" s="219"/>
      <c r="G646" s="219"/>
      <c r="H646" s="219"/>
      <c r="I646" s="219"/>
      <c r="J646" s="219"/>
    </row>
    <row r="647" spans="1:10">
      <c r="A647" s="120"/>
      <c r="B647" s="219"/>
      <c r="C647" s="219"/>
      <c r="D647" s="219"/>
      <c r="E647" s="219"/>
      <c r="F647" s="219"/>
      <c r="G647" s="219"/>
      <c r="H647" s="219"/>
      <c r="I647" s="219"/>
      <c r="J647" s="219"/>
    </row>
    <row r="648" spans="1:10">
      <c r="A648" s="120"/>
      <c r="B648" s="219"/>
      <c r="C648" s="219"/>
      <c r="D648" s="219"/>
      <c r="E648" s="219"/>
      <c r="F648" s="219"/>
      <c r="G648" s="219"/>
      <c r="H648" s="219"/>
      <c r="I648" s="219"/>
      <c r="J648" s="219"/>
    </row>
    <row r="649" spans="1:10">
      <c r="A649" s="120"/>
      <c r="B649" s="219"/>
      <c r="C649" s="219"/>
      <c r="D649" s="219"/>
      <c r="E649" s="219"/>
      <c r="F649" s="219"/>
      <c r="G649" s="219"/>
      <c r="H649" s="219"/>
      <c r="I649" s="219"/>
      <c r="J649" s="219"/>
    </row>
    <row r="650" spans="1:10">
      <c r="A650" s="120"/>
      <c r="B650" s="219"/>
      <c r="C650" s="219"/>
      <c r="D650" s="219"/>
      <c r="E650" s="219"/>
      <c r="F650" s="219"/>
      <c r="G650" s="219"/>
      <c r="H650" s="219"/>
      <c r="I650" s="219"/>
      <c r="J650" s="219"/>
    </row>
    <row r="651" spans="1:10">
      <c r="A651" s="120"/>
      <c r="B651" s="219"/>
      <c r="C651" s="219"/>
      <c r="D651" s="219"/>
      <c r="E651" s="219"/>
      <c r="F651" s="219"/>
      <c r="G651" s="219"/>
      <c r="H651" s="219"/>
      <c r="I651" s="219"/>
      <c r="J651" s="219"/>
    </row>
    <row r="652" spans="1:10">
      <c r="A652" s="120"/>
      <c r="B652" s="219"/>
      <c r="C652" s="219"/>
      <c r="D652" s="219"/>
      <c r="E652" s="219"/>
      <c r="F652" s="219"/>
      <c r="G652" s="219"/>
      <c r="H652" s="219"/>
      <c r="I652" s="219"/>
      <c r="J652" s="219"/>
    </row>
    <row r="653" spans="1:10">
      <c r="A653" s="120"/>
      <c r="B653" s="219"/>
      <c r="C653" s="219"/>
      <c r="D653" s="219"/>
      <c r="E653" s="219"/>
      <c r="F653" s="219"/>
      <c r="G653" s="219"/>
      <c r="H653" s="219"/>
      <c r="I653" s="219"/>
      <c r="J653" s="219"/>
    </row>
    <row r="654" spans="1:10">
      <c r="A654" s="120"/>
      <c r="B654" s="219"/>
      <c r="C654" s="219"/>
      <c r="D654" s="219"/>
      <c r="E654" s="219"/>
      <c r="F654" s="219"/>
      <c r="G654" s="219"/>
      <c r="H654" s="219"/>
      <c r="I654" s="219"/>
      <c r="J654" s="219"/>
    </row>
    <row r="655" spans="1:10">
      <c r="A655" s="120"/>
      <c r="B655" s="219"/>
      <c r="C655" s="219"/>
      <c r="D655" s="219"/>
      <c r="E655" s="219"/>
      <c r="F655" s="219"/>
      <c r="G655" s="219"/>
      <c r="H655" s="219"/>
      <c r="I655" s="219"/>
      <c r="J655" s="219"/>
    </row>
    <row r="656" spans="1:10">
      <c r="A656" s="120"/>
      <c r="B656" s="219"/>
      <c r="C656" s="219"/>
      <c r="D656" s="219"/>
      <c r="E656" s="219"/>
      <c r="F656" s="219"/>
      <c r="G656" s="219"/>
      <c r="H656" s="219"/>
      <c r="I656" s="219"/>
      <c r="J656" s="219"/>
    </row>
    <row r="657" spans="1:10">
      <c r="A657" s="120"/>
      <c r="B657" s="219"/>
      <c r="C657" s="219"/>
      <c r="D657" s="219"/>
      <c r="E657" s="219"/>
      <c r="F657" s="219"/>
      <c r="G657" s="219"/>
      <c r="H657" s="219"/>
      <c r="I657" s="219"/>
      <c r="J657" s="219"/>
    </row>
    <row r="658" spans="1:10">
      <c r="A658" s="120"/>
      <c r="B658" s="219"/>
      <c r="C658" s="219"/>
      <c r="D658" s="219"/>
      <c r="E658" s="219"/>
      <c r="F658" s="219"/>
      <c r="G658" s="219"/>
      <c r="H658" s="219"/>
      <c r="I658" s="219"/>
      <c r="J658" s="219"/>
    </row>
    <row r="659" spans="1:10">
      <c r="A659" s="120"/>
      <c r="B659" s="219"/>
      <c r="C659" s="219"/>
      <c r="D659" s="219"/>
      <c r="E659" s="219"/>
      <c r="F659" s="219"/>
      <c r="G659" s="219"/>
      <c r="H659" s="219"/>
      <c r="I659" s="219"/>
      <c r="J659" s="219"/>
    </row>
    <row r="660" spans="1:10">
      <c r="A660" s="120"/>
      <c r="B660" s="219"/>
      <c r="C660" s="219"/>
      <c r="D660" s="219"/>
      <c r="E660" s="219"/>
      <c r="F660" s="219"/>
      <c r="G660" s="219"/>
      <c r="H660" s="219"/>
      <c r="I660" s="219"/>
      <c r="J660" s="219"/>
    </row>
    <row r="661" spans="1:10">
      <c r="A661" s="120"/>
      <c r="B661" s="219"/>
      <c r="C661" s="219"/>
      <c r="D661" s="219"/>
      <c r="E661" s="219"/>
      <c r="F661" s="219"/>
      <c r="G661" s="219"/>
      <c r="H661" s="219"/>
      <c r="I661" s="219"/>
      <c r="J661" s="219"/>
    </row>
    <row r="662" spans="1:10">
      <c r="A662" s="120"/>
      <c r="B662" s="219"/>
      <c r="C662" s="219"/>
      <c r="D662" s="219"/>
      <c r="E662" s="219"/>
      <c r="F662" s="219"/>
      <c r="G662" s="219"/>
      <c r="H662" s="219"/>
      <c r="I662" s="219"/>
      <c r="J662" s="219"/>
    </row>
    <row r="663" spans="1:10">
      <c r="A663" s="120"/>
      <c r="B663" s="219"/>
      <c r="C663" s="219"/>
      <c r="D663" s="219"/>
      <c r="E663" s="219"/>
      <c r="F663" s="219"/>
      <c r="G663" s="219"/>
      <c r="H663" s="219"/>
      <c r="I663" s="219"/>
      <c r="J663" s="219"/>
    </row>
    <row r="664" spans="1:10">
      <c r="A664" s="120"/>
      <c r="B664" s="219"/>
      <c r="C664" s="219"/>
      <c r="D664" s="219"/>
      <c r="E664" s="219"/>
      <c r="F664" s="219"/>
      <c r="G664" s="219"/>
      <c r="H664" s="219"/>
      <c r="I664" s="219"/>
      <c r="J664" s="219"/>
    </row>
    <row r="665" spans="1:10">
      <c r="A665" s="120"/>
      <c r="B665" s="219"/>
      <c r="C665" s="219"/>
      <c r="D665" s="219"/>
      <c r="E665" s="219"/>
      <c r="F665" s="219"/>
      <c r="G665" s="219"/>
      <c r="H665" s="219"/>
      <c r="I665" s="219"/>
      <c r="J665" s="219"/>
    </row>
    <row r="666" spans="1:10">
      <c r="A666" s="120"/>
      <c r="B666" s="219"/>
      <c r="C666" s="219"/>
      <c r="D666" s="219"/>
      <c r="E666" s="219"/>
      <c r="F666" s="219"/>
      <c r="G666" s="219"/>
      <c r="H666" s="219"/>
      <c r="I666" s="219"/>
      <c r="J666" s="219"/>
    </row>
    <row r="667" spans="1:10">
      <c r="A667" s="120"/>
      <c r="B667" s="219"/>
      <c r="C667" s="219"/>
      <c r="D667" s="219"/>
      <c r="E667" s="219"/>
      <c r="F667" s="219"/>
      <c r="G667" s="219"/>
      <c r="H667" s="219"/>
      <c r="I667" s="219"/>
      <c r="J667" s="219"/>
    </row>
    <row r="668" spans="1:10">
      <c r="A668" s="120"/>
      <c r="B668" s="219"/>
      <c r="C668" s="219"/>
      <c r="D668" s="219"/>
      <c r="E668" s="219"/>
      <c r="F668" s="219"/>
      <c r="G668" s="219"/>
      <c r="H668" s="219"/>
      <c r="I668" s="219"/>
      <c r="J668" s="219"/>
    </row>
    <row r="669" spans="1:10">
      <c r="A669" s="120"/>
      <c r="B669" s="219"/>
      <c r="C669" s="219"/>
      <c r="D669" s="219"/>
      <c r="E669" s="219"/>
      <c r="F669" s="219"/>
      <c r="G669" s="219"/>
      <c r="H669" s="219"/>
      <c r="I669" s="219"/>
      <c r="J669" s="219"/>
    </row>
    <row r="670" spans="1:10">
      <c r="A670" s="120"/>
      <c r="B670" s="219"/>
      <c r="C670" s="219"/>
      <c r="D670" s="219"/>
      <c r="E670" s="219"/>
      <c r="F670" s="219"/>
      <c r="G670" s="219"/>
      <c r="H670" s="219"/>
      <c r="I670" s="219"/>
      <c r="J670" s="219"/>
    </row>
    <row r="671" spans="1:10">
      <c r="A671" s="120"/>
      <c r="B671" s="219"/>
      <c r="C671" s="219"/>
      <c r="D671" s="219"/>
      <c r="E671" s="219"/>
      <c r="F671" s="219"/>
      <c r="G671" s="219"/>
      <c r="H671" s="219"/>
      <c r="I671" s="219"/>
      <c r="J671" s="219"/>
    </row>
    <row r="672" spans="1:10">
      <c r="A672" s="120"/>
      <c r="B672" s="219"/>
      <c r="C672" s="219"/>
      <c r="D672" s="219"/>
      <c r="E672" s="219"/>
      <c r="F672" s="219"/>
      <c r="G672" s="219"/>
      <c r="H672" s="219"/>
      <c r="I672" s="219"/>
      <c r="J672" s="219"/>
    </row>
    <row r="673" spans="1:10">
      <c r="A673" s="120"/>
      <c r="B673" s="219"/>
      <c r="C673" s="219"/>
      <c r="D673" s="219"/>
      <c r="E673" s="219"/>
      <c r="F673" s="219"/>
      <c r="G673" s="219"/>
      <c r="H673" s="219"/>
      <c r="I673" s="219"/>
      <c r="J673" s="219"/>
    </row>
    <row r="674" spans="1:10">
      <c r="A674" s="120"/>
      <c r="B674" s="219"/>
      <c r="C674" s="219"/>
      <c r="D674" s="219"/>
      <c r="E674" s="219"/>
      <c r="F674" s="219"/>
      <c r="G674" s="219"/>
      <c r="H674" s="219"/>
      <c r="I674" s="219"/>
      <c r="J674" s="219"/>
    </row>
    <row r="675" spans="1:10">
      <c r="A675" s="120"/>
      <c r="B675" s="219"/>
      <c r="C675" s="219"/>
      <c r="D675" s="219"/>
      <c r="E675" s="219"/>
      <c r="F675" s="219"/>
      <c r="G675" s="219"/>
      <c r="H675" s="219"/>
      <c r="I675" s="219"/>
      <c r="J675" s="219"/>
    </row>
    <row r="676" spans="1:10">
      <c r="A676" s="120"/>
      <c r="B676" s="219"/>
      <c r="C676" s="219"/>
      <c r="D676" s="219"/>
      <c r="E676" s="219"/>
      <c r="F676" s="219"/>
      <c r="G676" s="219"/>
      <c r="H676" s="219"/>
      <c r="I676" s="219"/>
      <c r="J676" s="219"/>
    </row>
    <row r="677" spans="1:10">
      <c r="A677" s="120"/>
      <c r="B677" s="219"/>
      <c r="C677" s="219"/>
      <c r="D677" s="219"/>
      <c r="E677" s="219"/>
      <c r="F677" s="219"/>
      <c r="G677" s="219"/>
      <c r="H677" s="219"/>
      <c r="I677" s="219"/>
      <c r="J677" s="219"/>
    </row>
    <row r="678" spans="1:10">
      <c r="A678" s="120"/>
      <c r="B678" s="219"/>
      <c r="C678" s="219"/>
      <c r="D678" s="219"/>
      <c r="E678" s="219"/>
      <c r="F678" s="219"/>
      <c r="G678" s="219"/>
      <c r="H678" s="219"/>
      <c r="I678" s="219"/>
      <c r="J678" s="219"/>
    </row>
    <row r="679" spans="1:10">
      <c r="A679" s="120"/>
      <c r="B679" s="219"/>
      <c r="C679" s="219"/>
      <c r="D679" s="219"/>
      <c r="E679" s="219"/>
      <c r="F679" s="219"/>
      <c r="G679" s="219"/>
      <c r="H679" s="219"/>
      <c r="I679" s="219"/>
      <c r="J679" s="219"/>
    </row>
    <row r="680" spans="1:10">
      <c r="A680" s="120"/>
      <c r="B680" s="219"/>
      <c r="C680" s="219"/>
      <c r="D680" s="219"/>
      <c r="E680" s="219"/>
      <c r="F680" s="219"/>
      <c r="G680" s="219"/>
      <c r="H680" s="219"/>
      <c r="I680" s="219"/>
      <c r="J680" s="219"/>
    </row>
    <row r="681" spans="1:10">
      <c r="A681" s="120"/>
      <c r="B681" s="219"/>
      <c r="C681" s="219"/>
      <c r="D681" s="219"/>
      <c r="E681" s="219"/>
      <c r="F681" s="219"/>
      <c r="G681" s="219"/>
      <c r="H681" s="219"/>
      <c r="I681" s="219"/>
      <c r="J681" s="219"/>
    </row>
    <row r="682" spans="1:10">
      <c r="A682" s="120"/>
      <c r="B682" s="219"/>
      <c r="C682" s="219"/>
      <c r="D682" s="219"/>
      <c r="E682" s="219"/>
      <c r="F682" s="219"/>
      <c r="G682" s="219"/>
      <c r="H682" s="219"/>
      <c r="I682" s="219"/>
      <c r="J682" s="219"/>
    </row>
    <row r="683" spans="1:10">
      <c r="A683" s="120"/>
      <c r="B683" s="219"/>
      <c r="C683" s="219"/>
      <c r="D683" s="219"/>
      <c r="E683" s="219"/>
      <c r="F683" s="219"/>
      <c r="G683" s="219"/>
      <c r="H683" s="219"/>
      <c r="I683" s="219"/>
      <c r="J683" s="219"/>
    </row>
    <row r="684" spans="1:10">
      <c r="A684" s="120"/>
      <c r="B684" s="219"/>
      <c r="C684" s="219"/>
      <c r="D684" s="219"/>
      <c r="E684" s="219"/>
      <c r="F684" s="219"/>
      <c r="G684" s="219"/>
      <c r="H684" s="219"/>
      <c r="I684" s="219"/>
      <c r="J684" s="219"/>
    </row>
    <row r="685" spans="1:10">
      <c r="A685" s="120"/>
      <c r="B685" s="219"/>
      <c r="C685" s="219"/>
      <c r="D685" s="219"/>
      <c r="E685" s="219"/>
      <c r="F685" s="219"/>
      <c r="G685" s="219"/>
      <c r="H685" s="219"/>
      <c r="I685" s="219"/>
      <c r="J685" s="219"/>
    </row>
    <row r="686" spans="1:10">
      <c r="A686" s="120"/>
      <c r="B686" s="219"/>
      <c r="C686" s="219"/>
      <c r="D686" s="219"/>
      <c r="E686" s="219"/>
      <c r="F686" s="219"/>
      <c r="G686" s="219"/>
      <c r="H686" s="219"/>
      <c r="I686" s="219"/>
      <c r="J686" s="219"/>
    </row>
    <row r="687" spans="1:10">
      <c r="A687" s="120"/>
      <c r="B687" s="219"/>
      <c r="C687" s="219"/>
      <c r="D687" s="219"/>
      <c r="E687" s="219"/>
      <c r="F687" s="219"/>
      <c r="G687" s="219"/>
      <c r="H687" s="219"/>
      <c r="I687" s="219"/>
      <c r="J687" s="219"/>
    </row>
    <row r="688" spans="1:10">
      <c r="A688" s="120"/>
      <c r="B688" s="219"/>
      <c r="C688" s="219"/>
      <c r="D688" s="219"/>
      <c r="E688" s="219"/>
      <c r="F688" s="219"/>
      <c r="G688" s="219"/>
      <c r="H688" s="219"/>
      <c r="I688" s="219"/>
      <c r="J688" s="219"/>
    </row>
    <row r="689" spans="1:10">
      <c r="A689" s="120"/>
      <c r="B689" s="219"/>
      <c r="C689" s="219"/>
      <c r="D689" s="219"/>
      <c r="E689" s="219"/>
      <c r="F689" s="219"/>
      <c r="G689" s="219"/>
      <c r="H689" s="219"/>
      <c r="I689" s="219"/>
      <c r="J689" s="219"/>
    </row>
    <row r="690" spans="1:10">
      <c r="A690" s="120"/>
      <c r="B690" s="219"/>
      <c r="C690" s="219"/>
      <c r="D690" s="219"/>
      <c r="E690" s="219"/>
      <c r="F690" s="219"/>
      <c r="G690" s="219"/>
      <c r="H690" s="219"/>
      <c r="I690" s="219"/>
      <c r="J690" s="219"/>
    </row>
    <row r="691" spans="1:10">
      <c r="A691" s="120"/>
      <c r="B691" s="219"/>
      <c r="C691" s="219"/>
      <c r="D691" s="219"/>
      <c r="E691" s="219"/>
      <c r="F691" s="219"/>
      <c r="G691" s="219"/>
      <c r="H691" s="219"/>
      <c r="I691" s="219"/>
      <c r="J691" s="219"/>
    </row>
    <row r="692" spans="1:10">
      <c r="A692" s="120"/>
      <c r="B692" s="219"/>
      <c r="C692" s="219"/>
      <c r="D692" s="219"/>
      <c r="E692" s="219"/>
      <c r="F692" s="219"/>
      <c r="G692" s="219"/>
      <c r="H692" s="219"/>
      <c r="I692" s="219"/>
      <c r="J692" s="219"/>
    </row>
    <row r="693" spans="1:10">
      <c r="A693" s="120"/>
      <c r="B693" s="219"/>
      <c r="C693" s="219"/>
      <c r="D693" s="219"/>
      <c r="E693" s="219"/>
      <c r="F693" s="219"/>
      <c r="G693" s="219"/>
      <c r="H693" s="219"/>
      <c r="I693" s="219"/>
      <c r="J693" s="219"/>
    </row>
    <row r="694" spans="1:10">
      <c r="A694" s="120"/>
      <c r="B694" s="219"/>
      <c r="C694" s="219"/>
      <c r="D694" s="219"/>
      <c r="E694" s="219"/>
      <c r="F694" s="219"/>
      <c r="G694" s="219"/>
      <c r="H694" s="219"/>
      <c r="I694" s="219"/>
      <c r="J694" s="219"/>
    </row>
    <row r="695" spans="1:10">
      <c r="A695" s="120"/>
      <c r="B695" s="219"/>
      <c r="C695" s="219"/>
      <c r="D695" s="219"/>
      <c r="E695" s="219"/>
      <c r="F695" s="219"/>
      <c r="G695" s="219"/>
      <c r="H695" s="219"/>
      <c r="I695" s="219"/>
      <c r="J695" s="219"/>
    </row>
    <row r="696" spans="1:10">
      <c r="A696" s="120"/>
      <c r="B696" s="219"/>
      <c r="C696" s="219"/>
      <c r="D696" s="219"/>
      <c r="E696" s="219"/>
      <c r="F696" s="219"/>
      <c r="G696" s="219"/>
      <c r="H696" s="219"/>
      <c r="I696" s="219"/>
      <c r="J696" s="219"/>
    </row>
    <row r="697" spans="1:10">
      <c r="A697" s="120"/>
      <c r="B697" s="219"/>
      <c r="C697" s="219"/>
      <c r="D697" s="219"/>
      <c r="E697" s="219"/>
      <c r="F697" s="219"/>
      <c r="G697" s="219"/>
      <c r="H697" s="219"/>
      <c r="I697" s="219"/>
      <c r="J697" s="219"/>
    </row>
    <row r="698" spans="1:10">
      <c r="A698" s="120"/>
      <c r="B698" s="219"/>
      <c r="C698" s="219"/>
      <c r="D698" s="219"/>
      <c r="E698" s="219"/>
      <c r="F698" s="219"/>
      <c r="G698" s="219"/>
      <c r="H698" s="219"/>
      <c r="I698" s="219"/>
      <c r="J698" s="219"/>
    </row>
    <row r="699" spans="1:10">
      <c r="A699" s="120"/>
      <c r="B699" s="219"/>
      <c r="C699" s="219"/>
      <c r="D699" s="219"/>
      <c r="E699" s="219"/>
      <c r="F699" s="219"/>
      <c r="G699" s="219"/>
      <c r="H699" s="219"/>
      <c r="I699" s="219"/>
      <c r="J699" s="219"/>
    </row>
    <row r="700" spans="1:10">
      <c r="A700" s="120"/>
      <c r="B700" s="219"/>
      <c r="C700" s="219"/>
      <c r="D700" s="219"/>
      <c r="E700" s="219"/>
      <c r="F700" s="219"/>
      <c r="G700" s="219"/>
      <c r="H700" s="219"/>
      <c r="I700" s="219"/>
      <c r="J700" s="219"/>
    </row>
    <row r="701" spans="1:10">
      <c r="A701" s="120"/>
      <c r="B701" s="219"/>
      <c r="C701" s="219"/>
      <c r="D701" s="219"/>
      <c r="E701" s="219"/>
      <c r="F701" s="219"/>
      <c r="G701" s="219"/>
      <c r="H701" s="219"/>
      <c r="I701" s="219"/>
      <c r="J701" s="219"/>
    </row>
    <row r="702" spans="1:10">
      <c r="A702" s="120"/>
      <c r="B702" s="219"/>
      <c r="C702" s="219"/>
      <c r="D702" s="219"/>
      <c r="E702" s="219"/>
      <c r="F702" s="219"/>
      <c r="G702" s="219"/>
      <c r="H702" s="219"/>
      <c r="I702" s="219"/>
      <c r="J702" s="219"/>
    </row>
    <row r="703" spans="1:10">
      <c r="A703" s="120"/>
      <c r="B703" s="219"/>
      <c r="C703" s="219"/>
      <c r="D703" s="219"/>
      <c r="E703" s="219"/>
      <c r="F703" s="219"/>
      <c r="G703" s="219"/>
      <c r="H703" s="219"/>
      <c r="I703" s="219"/>
      <c r="J703" s="219"/>
    </row>
    <row r="704" spans="1:10">
      <c r="A704" s="120"/>
      <c r="B704" s="219"/>
      <c r="C704" s="219"/>
      <c r="D704" s="219"/>
      <c r="E704" s="219"/>
      <c r="F704" s="219"/>
      <c r="G704" s="219"/>
      <c r="H704" s="219"/>
      <c r="I704" s="219"/>
      <c r="J704" s="219"/>
    </row>
    <row r="705" spans="1:10">
      <c r="A705" s="120"/>
      <c r="B705" s="219"/>
      <c r="C705" s="219"/>
      <c r="D705" s="219"/>
      <c r="E705" s="219"/>
      <c r="F705" s="219"/>
      <c r="G705" s="219"/>
      <c r="H705" s="219"/>
      <c r="I705" s="219"/>
      <c r="J705" s="219"/>
    </row>
    <row r="706" spans="1:10">
      <c r="A706" s="120"/>
      <c r="B706" s="219"/>
      <c r="C706" s="219"/>
      <c r="D706" s="219"/>
      <c r="E706" s="219"/>
      <c r="F706" s="219"/>
      <c r="G706" s="219"/>
      <c r="H706" s="219"/>
      <c r="I706" s="219"/>
      <c r="J706" s="219"/>
    </row>
    <row r="707" spans="1:10">
      <c r="A707" s="120"/>
      <c r="B707" s="219"/>
      <c r="C707" s="219"/>
      <c r="D707" s="219"/>
      <c r="E707" s="219"/>
      <c r="F707" s="219"/>
      <c r="G707" s="219"/>
      <c r="H707" s="219"/>
      <c r="I707" s="219"/>
      <c r="J707" s="219"/>
    </row>
    <row r="708" spans="1:10">
      <c r="A708" s="120"/>
      <c r="B708" s="219"/>
      <c r="C708" s="219"/>
      <c r="D708" s="219"/>
      <c r="E708" s="219"/>
      <c r="F708" s="219"/>
      <c r="G708" s="219"/>
      <c r="H708" s="219"/>
      <c r="I708" s="219"/>
      <c r="J708" s="219"/>
    </row>
    <row r="709" spans="1:10">
      <c r="A709" s="120"/>
      <c r="B709" s="219"/>
      <c r="C709" s="219"/>
      <c r="D709" s="219"/>
      <c r="E709" s="219"/>
      <c r="F709" s="219"/>
      <c r="G709" s="219"/>
      <c r="H709" s="219"/>
      <c r="I709" s="219"/>
      <c r="J709" s="219"/>
    </row>
    <row r="710" spans="1:10">
      <c r="A710" s="120"/>
      <c r="B710" s="219"/>
      <c r="C710" s="219"/>
      <c r="D710" s="219"/>
      <c r="E710" s="219"/>
      <c r="F710" s="219"/>
      <c r="G710" s="219"/>
      <c r="H710" s="219"/>
      <c r="I710" s="219"/>
      <c r="J710" s="219"/>
    </row>
    <row r="711" spans="1:10">
      <c r="A711" s="120"/>
      <c r="B711" s="219"/>
      <c r="C711" s="219"/>
      <c r="D711" s="219"/>
      <c r="E711" s="219"/>
      <c r="F711" s="219"/>
      <c r="G711" s="219"/>
      <c r="H711" s="219"/>
      <c r="I711" s="219"/>
      <c r="J711" s="219"/>
    </row>
    <row r="712" spans="1:10">
      <c r="A712" s="120"/>
      <c r="B712" s="219"/>
      <c r="C712" s="219"/>
      <c r="D712" s="219"/>
      <c r="E712" s="219"/>
      <c r="F712" s="219"/>
      <c r="G712" s="219"/>
      <c r="H712" s="219"/>
      <c r="I712" s="219"/>
      <c r="J712" s="219"/>
    </row>
    <row r="713" spans="1:10">
      <c r="A713" s="120"/>
      <c r="B713" s="219"/>
      <c r="C713" s="219"/>
      <c r="D713" s="219"/>
      <c r="E713" s="219"/>
      <c r="F713" s="219"/>
      <c r="G713" s="219"/>
      <c r="H713" s="219"/>
      <c r="I713" s="219"/>
      <c r="J713" s="219"/>
    </row>
    <row r="714" spans="1:10">
      <c r="A714" s="120"/>
      <c r="B714" s="219"/>
      <c r="C714" s="219"/>
      <c r="D714" s="219"/>
      <c r="E714" s="219"/>
      <c r="F714" s="219"/>
      <c r="G714" s="219"/>
      <c r="H714" s="219"/>
      <c r="I714" s="219"/>
      <c r="J714" s="219"/>
    </row>
    <row r="715" spans="1:10">
      <c r="A715" s="120"/>
      <c r="B715" s="219"/>
      <c r="C715" s="219"/>
      <c r="D715" s="219"/>
      <c r="E715" s="219"/>
      <c r="F715" s="219"/>
      <c r="G715" s="219"/>
      <c r="H715" s="219"/>
      <c r="I715" s="219"/>
      <c r="J715" s="219"/>
    </row>
    <row r="716" spans="1:10">
      <c r="A716" s="120"/>
      <c r="B716" s="219"/>
      <c r="C716" s="219"/>
      <c r="D716" s="219"/>
      <c r="E716" s="219"/>
      <c r="F716" s="219"/>
      <c r="G716" s="219"/>
      <c r="H716" s="219"/>
      <c r="I716" s="219"/>
      <c r="J716" s="219"/>
    </row>
    <row r="717" spans="1:10">
      <c r="A717" s="120"/>
      <c r="B717" s="219"/>
      <c r="C717" s="219"/>
      <c r="D717" s="219"/>
      <c r="E717" s="219"/>
      <c r="F717" s="219"/>
      <c r="G717" s="219"/>
      <c r="H717" s="219"/>
      <c r="I717" s="219"/>
      <c r="J717" s="219"/>
    </row>
    <row r="718" spans="1:10">
      <c r="A718" s="120"/>
      <c r="B718" s="219"/>
      <c r="C718" s="219"/>
      <c r="D718" s="219"/>
      <c r="E718" s="219"/>
      <c r="F718" s="219"/>
      <c r="G718" s="219"/>
      <c r="H718" s="219"/>
      <c r="I718" s="219"/>
      <c r="J718" s="219"/>
    </row>
    <row r="719" spans="1:10">
      <c r="A719" s="120"/>
      <c r="B719" s="219"/>
      <c r="C719" s="219"/>
      <c r="D719" s="219"/>
      <c r="E719" s="219"/>
      <c r="F719" s="219"/>
      <c r="G719" s="219"/>
      <c r="H719" s="219"/>
      <c r="I719" s="219"/>
      <c r="J719" s="219"/>
    </row>
    <row r="720" spans="1:10">
      <c r="A720" s="120"/>
      <c r="B720" s="219"/>
      <c r="C720" s="219"/>
      <c r="D720" s="219"/>
      <c r="E720" s="219"/>
      <c r="F720" s="219"/>
      <c r="G720" s="219"/>
      <c r="H720" s="219"/>
      <c r="I720" s="219"/>
      <c r="J720" s="219"/>
    </row>
    <row r="721" spans="1:10">
      <c r="A721" s="120"/>
      <c r="B721" s="219"/>
      <c r="C721" s="219"/>
      <c r="D721" s="219"/>
      <c r="E721" s="219"/>
      <c r="F721" s="219"/>
      <c r="G721" s="219"/>
      <c r="H721" s="219"/>
      <c r="I721" s="219"/>
      <c r="J721" s="219"/>
    </row>
    <row r="722" spans="1:10">
      <c r="A722" s="120"/>
      <c r="B722" s="219"/>
      <c r="C722" s="219"/>
      <c r="D722" s="219"/>
      <c r="E722" s="219"/>
      <c r="F722" s="219"/>
      <c r="G722" s="219"/>
      <c r="H722" s="219"/>
      <c r="I722" s="219"/>
      <c r="J722" s="219"/>
    </row>
    <row r="723" spans="1:10">
      <c r="A723" s="120"/>
      <c r="B723" s="219"/>
      <c r="C723" s="219"/>
      <c r="D723" s="219"/>
      <c r="E723" s="219"/>
      <c r="F723" s="219"/>
      <c r="G723" s="219"/>
      <c r="H723" s="219"/>
      <c r="I723" s="219"/>
      <c r="J723" s="219"/>
    </row>
    <row r="724" spans="1:10">
      <c r="A724" s="120"/>
      <c r="B724" s="219"/>
      <c r="C724" s="219"/>
      <c r="D724" s="219"/>
      <c r="E724" s="219"/>
      <c r="F724" s="219"/>
      <c r="G724" s="219"/>
      <c r="H724" s="219"/>
      <c r="I724" s="219"/>
      <c r="J724" s="219"/>
    </row>
    <row r="725" spans="1:10">
      <c r="A725" s="120"/>
      <c r="B725" s="219"/>
      <c r="C725" s="219"/>
      <c r="D725" s="219"/>
      <c r="E725" s="219"/>
      <c r="F725" s="219"/>
      <c r="G725" s="219"/>
      <c r="H725" s="219"/>
      <c r="I725" s="219"/>
      <c r="J725" s="219"/>
    </row>
    <row r="726" spans="1:10">
      <c r="A726" s="120"/>
      <c r="B726" s="219"/>
      <c r="C726" s="219"/>
      <c r="D726" s="219"/>
      <c r="E726" s="219"/>
      <c r="F726" s="219"/>
      <c r="G726" s="219"/>
      <c r="H726" s="219"/>
      <c r="I726" s="219"/>
      <c r="J726" s="219"/>
    </row>
    <row r="727" spans="1:10">
      <c r="A727" s="120"/>
      <c r="B727" s="219"/>
      <c r="C727" s="219"/>
      <c r="D727" s="219"/>
      <c r="E727" s="219"/>
      <c r="F727" s="219"/>
      <c r="G727" s="219"/>
      <c r="H727" s="219"/>
      <c r="I727" s="219"/>
      <c r="J727" s="219"/>
    </row>
    <row r="728" spans="1:10">
      <c r="A728" s="120"/>
      <c r="B728" s="219"/>
      <c r="C728" s="219"/>
      <c r="D728" s="219"/>
      <c r="E728" s="219"/>
      <c r="F728" s="219"/>
      <c r="G728" s="219"/>
      <c r="H728" s="219"/>
      <c r="I728" s="219"/>
      <c r="J728" s="219"/>
    </row>
    <row r="729" spans="1:10">
      <c r="A729" s="120"/>
      <c r="B729" s="219"/>
      <c r="C729" s="219"/>
      <c r="D729" s="219"/>
      <c r="E729" s="219"/>
      <c r="F729" s="219"/>
      <c r="G729" s="219"/>
      <c r="H729" s="219"/>
      <c r="I729" s="219"/>
      <c r="J729" s="219"/>
    </row>
    <row r="730" spans="1:10">
      <c r="A730" s="120"/>
      <c r="B730" s="219"/>
      <c r="C730" s="219"/>
      <c r="D730" s="219"/>
      <c r="E730" s="219"/>
      <c r="F730" s="219"/>
      <c r="G730" s="219"/>
      <c r="H730" s="219"/>
      <c r="I730" s="219"/>
      <c r="J730" s="219"/>
    </row>
    <row r="731" spans="1:10">
      <c r="A731" s="120"/>
      <c r="B731" s="219"/>
      <c r="C731" s="219"/>
      <c r="D731" s="219"/>
      <c r="E731" s="219"/>
      <c r="F731" s="219"/>
      <c r="G731" s="219"/>
      <c r="H731" s="219"/>
      <c r="I731" s="219"/>
      <c r="J731" s="219"/>
    </row>
    <row r="732" spans="1:10">
      <c r="A732" s="120"/>
      <c r="B732" s="219"/>
      <c r="C732" s="219"/>
      <c r="D732" s="219"/>
      <c r="E732" s="219"/>
      <c r="F732" s="219"/>
      <c r="G732" s="219"/>
      <c r="H732" s="219"/>
      <c r="I732" s="219"/>
      <c r="J732" s="219"/>
    </row>
    <row r="733" spans="1:10">
      <c r="A733" s="120"/>
      <c r="B733" s="219"/>
      <c r="C733" s="219"/>
      <c r="D733" s="219"/>
      <c r="E733" s="219"/>
      <c r="F733" s="219"/>
      <c r="G733" s="219"/>
      <c r="H733" s="219"/>
      <c r="I733" s="219"/>
      <c r="J733" s="219"/>
    </row>
    <row r="734" spans="1:10">
      <c r="A734" s="120"/>
      <c r="B734" s="219"/>
      <c r="C734" s="219"/>
      <c r="D734" s="219"/>
      <c r="E734" s="219"/>
      <c r="F734" s="219"/>
      <c r="G734" s="219"/>
      <c r="H734" s="219"/>
      <c r="I734" s="219"/>
      <c r="J734" s="219"/>
    </row>
    <row r="735" spans="1:10">
      <c r="A735" s="120"/>
      <c r="B735" s="219"/>
      <c r="C735" s="219"/>
      <c r="D735" s="219"/>
      <c r="E735" s="219"/>
      <c r="F735" s="219"/>
      <c r="G735" s="219"/>
      <c r="H735" s="219"/>
      <c r="I735" s="219"/>
      <c r="J735" s="219"/>
    </row>
    <row r="736" spans="1:10">
      <c r="A736" s="120"/>
      <c r="B736" s="219"/>
      <c r="C736" s="219"/>
      <c r="D736" s="219"/>
      <c r="E736" s="219"/>
      <c r="F736" s="219"/>
      <c r="G736" s="219"/>
      <c r="H736" s="219"/>
      <c r="I736" s="219"/>
      <c r="J736" s="219"/>
    </row>
    <row r="737" spans="1:10">
      <c r="A737" s="120"/>
      <c r="B737" s="219"/>
      <c r="C737" s="219"/>
      <c r="D737" s="219"/>
      <c r="E737" s="219"/>
      <c r="F737" s="219"/>
      <c r="G737" s="219"/>
      <c r="H737" s="219"/>
      <c r="I737" s="219"/>
      <c r="J737" s="219"/>
    </row>
    <row r="738" spans="1:10">
      <c r="A738" s="120"/>
      <c r="B738" s="219"/>
      <c r="C738" s="219"/>
      <c r="D738" s="219"/>
      <c r="E738" s="219"/>
      <c r="F738" s="219"/>
      <c r="G738" s="219"/>
      <c r="H738" s="219"/>
      <c r="I738" s="219"/>
      <c r="J738" s="219"/>
    </row>
    <row r="739" spans="1:10">
      <c r="A739" s="120"/>
      <c r="B739" s="219"/>
      <c r="C739" s="219"/>
      <c r="D739" s="219"/>
      <c r="E739" s="219"/>
      <c r="F739" s="219"/>
      <c r="G739" s="219"/>
      <c r="H739" s="219"/>
      <c r="I739" s="219"/>
      <c r="J739" s="219"/>
    </row>
    <row r="740" spans="1:10">
      <c r="A740" s="120"/>
      <c r="B740" s="219"/>
      <c r="C740" s="219"/>
      <c r="D740" s="219"/>
      <c r="E740" s="219"/>
      <c r="F740" s="219"/>
      <c r="G740" s="219"/>
      <c r="H740" s="219"/>
      <c r="I740" s="219"/>
      <c r="J740" s="219"/>
    </row>
    <row r="741" spans="1:10">
      <c r="A741" s="120"/>
      <c r="B741" s="219"/>
      <c r="C741" s="219"/>
      <c r="D741" s="219"/>
      <c r="E741" s="219"/>
      <c r="F741" s="219"/>
      <c r="G741" s="219"/>
      <c r="H741" s="219"/>
      <c r="I741" s="219"/>
      <c r="J741" s="219"/>
    </row>
    <row r="742" spans="1:10">
      <c r="A742" s="120"/>
      <c r="B742" s="219"/>
      <c r="C742" s="219"/>
      <c r="D742" s="219"/>
      <c r="E742" s="219"/>
      <c r="F742" s="219"/>
      <c r="G742" s="219"/>
      <c r="H742" s="219"/>
      <c r="I742" s="219"/>
      <c r="J742" s="219"/>
    </row>
    <row r="743" spans="1:10">
      <c r="A743" s="120"/>
      <c r="B743" s="219"/>
      <c r="C743" s="219"/>
      <c r="D743" s="219"/>
      <c r="E743" s="219"/>
      <c r="F743" s="219"/>
      <c r="G743" s="219"/>
      <c r="H743" s="219"/>
      <c r="I743" s="219"/>
      <c r="J743" s="219"/>
    </row>
    <row r="744" spans="1:10">
      <c r="A744" s="120"/>
      <c r="B744" s="219"/>
      <c r="C744" s="219"/>
      <c r="D744" s="219"/>
      <c r="E744" s="219"/>
      <c r="F744" s="219"/>
      <c r="G744" s="219"/>
      <c r="H744" s="219"/>
      <c r="I744" s="219"/>
      <c r="J744" s="219"/>
    </row>
    <row r="745" spans="1:10">
      <c r="A745" s="120"/>
      <c r="B745" s="219"/>
      <c r="C745" s="219"/>
      <c r="D745" s="219"/>
      <c r="E745" s="219"/>
      <c r="F745" s="219"/>
      <c r="G745" s="219"/>
      <c r="H745" s="219"/>
      <c r="I745" s="219"/>
      <c r="J745" s="219"/>
    </row>
    <row r="746" spans="1:10">
      <c r="A746" s="120"/>
      <c r="B746" s="219"/>
      <c r="C746" s="219"/>
      <c r="D746" s="219"/>
      <c r="E746" s="219"/>
      <c r="F746" s="219"/>
      <c r="G746" s="219"/>
      <c r="H746" s="219"/>
      <c r="I746" s="219"/>
      <c r="J746" s="219"/>
    </row>
    <row r="747" spans="1:10">
      <c r="A747" s="120"/>
      <c r="B747" s="219"/>
      <c r="C747" s="219"/>
      <c r="D747" s="219"/>
      <c r="E747" s="219"/>
      <c r="F747" s="219"/>
      <c r="G747" s="219"/>
      <c r="H747" s="219"/>
      <c r="I747" s="219"/>
      <c r="J747" s="219"/>
    </row>
    <row r="748" spans="1:10">
      <c r="A748" s="120"/>
      <c r="B748" s="219"/>
      <c r="C748" s="219"/>
      <c r="D748" s="219"/>
      <c r="E748" s="219"/>
      <c r="F748" s="219"/>
      <c r="G748" s="219"/>
      <c r="H748" s="219"/>
      <c r="I748" s="219"/>
      <c r="J748" s="219"/>
    </row>
    <row r="749" spans="1:10">
      <c r="A749" s="120"/>
      <c r="B749" s="219"/>
      <c r="C749" s="219"/>
      <c r="D749" s="219"/>
      <c r="E749" s="219"/>
      <c r="F749" s="219"/>
      <c r="G749" s="219"/>
      <c r="H749" s="219"/>
      <c r="I749" s="219"/>
      <c r="J749" s="219"/>
    </row>
    <row r="750" spans="1:10">
      <c r="A750" s="120"/>
      <c r="B750" s="219"/>
      <c r="C750" s="219"/>
      <c r="D750" s="219"/>
      <c r="E750" s="219"/>
      <c r="F750" s="219"/>
      <c r="G750" s="219"/>
      <c r="H750" s="219"/>
      <c r="I750" s="219"/>
      <c r="J750" s="219"/>
    </row>
    <row r="751" spans="1:10">
      <c r="A751" s="120"/>
      <c r="B751" s="219"/>
      <c r="C751" s="219"/>
      <c r="D751" s="219"/>
      <c r="E751" s="219"/>
      <c r="F751" s="219"/>
      <c r="G751" s="219"/>
      <c r="H751" s="219"/>
      <c r="I751" s="219"/>
      <c r="J751" s="219"/>
    </row>
    <row r="752" spans="1:10">
      <c r="A752" s="120"/>
      <c r="B752" s="219"/>
      <c r="C752" s="219"/>
      <c r="D752" s="219"/>
      <c r="E752" s="219"/>
      <c r="F752" s="219"/>
      <c r="G752" s="219"/>
      <c r="H752" s="219"/>
      <c r="I752" s="219"/>
      <c r="J752" s="219"/>
    </row>
    <row r="753" spans="1:10">
      <c r="A753" s="120"/>
      <c r="B753" s="219"/>
      <c r="C753" s="219"/>
      <c r="D753" s="219"/>
      <c r="E753" s="219"/>
      <c r="F753" s="219"/>
      <c r="G753" s="219"/>
      <c r="H753" s="219"/>
      <c r="I753" s="219"/>
      <c r="J753" s="219"/>
    </row>
    <row r="754" spans="1:10">
      <c r="A754" s="120"/>
      <c r="B754" s="219"/>
      <c r="C754" s="219"/>
      <c r="D754" s="219"/>
      <c r="E754" s="219"/>
      <c r="F754" s="219"/>
      <c r="G754" s="219"/>
      <c r="H754" s="219"/>
      <c r="I754" s="219"/>
      <c r="J754" s="219"/>
    </row>
    <row r="755" spans="1:10">
      <c r="A755" s="120"/>
      <c r="B755" s="219"/>
      <c r="C755" s="219"/>
      <c r="D755" s="219"/>
      <c r="E755" s="219"/>
      <c r="F755" s="219"/>
      <c r="G755" s="219"/>
      <c r="H755" s="219"/>
      <c r="I755" s="219"/>
      <c r="J755" s="219"/>
    </row>
    <row r="756" spans="1:10">
      <c r="A756" s="120"/>
      <c r="B756" s="219"/>
      <c r="C756" s="219"/>
      <c r="D756" s="219"/>
      <c r="E756" s="219"/>
      <c r="F756" s="219"/>
      <c r="G756" s="219"/>
      <c r="H756" s="219"/>
      <c r="I756" s="219"/>
      <c r="J756" s="219"/>
    </row>
    <row r="757" spans="1:10">
      <c r="A757" s="120"/>
      <c r="B757" s="219"/>
      <c r="C757" s="219"/>
      <c r="D757" s="219"/>
      <c r="E757" s="219"/>
      <c r="F757" s="219"/>
      <c r="G757" s="219"/>
      <c r="H757" s="219"/>
      <c r="I757" s="219"/>
      <c r="J757" s="219"/>
    </row>
    <row r="758" spans="1:10">
      <c r="A758" s="120"/>
      <c r="B758" s="219"/>
      <c r="C758" s="219"/>
      <c r="D758" s="219"/>
      <c r="E758" s="219"/>
      <c r="F758" s="219"/>
      <c r="G758" s="219"/>
      <c r="H758" s="219"/>
      <c r="I758" s="219"/>
      <c r="J758" s="219"/>
    </row>
    <row r="759" spans="1:10">
      <c r="A759" s="120"/>
      <c r="B759" s="219"/>
      <c r="C759" s="219"/>
      <c r="D759" s="219"/>
      <c r="E759" s="219"/>
      <c r="F759" s="219"/>
      <c r="G759" s="219"/>
      <c r="H759" s="219"/>
      <c r="I759" s="219"/>
      <c r="J759" s="219"/>
    </row>
    <row r="760" spans="1:10">
      <c r="A760" s="120"/>
      <c r="B760" s="219"/>
      <c r="C760" s="219"/>
      <c r="D760" s="219"/>
      <c r="E760" s="219"/>
      <c r="F760" s="219"/>
      <c r="G760" s="219"/>
      <c r="H760" s="219"/>
      <c r="I760" s="219"/>
      <c r="J760" s="219"/>
    </row>
    <row r="761" spans="1:10">
      <c r="A761" s="120"/>
      <c r="B761" s="219"/>
      <c r="C761" s="219"/>
      <c r="D761" s="219"/>
      <c r="E761" s="219"/>
      <c r="F761" s="219"/>
      <c r="G761" s="219"/>
      <c r="H761" s="219"/>
      <c r="I761" s="219"/>
      <c r="J761" s="219"/>
    </row>
    <row r="762" spans="1:10">
      <c r="A762" s="120"/>
      <c r="B762" s="219"/>
      <c r="C762" s="219"/>
      <c r="D762" s="219"/>
      <c r="E762" s="219"/>
      <c r="F762" s="219"/>
      <c r="G762" s="219"/>
      <c r="H762" s="219"/>
      <c r="I762" s="219"/>
      <c r="J762" s="219"/>
    </row>
    <row r="763" spans="1:10">
      <c r="A763" s="120"/>
      <c r="B763" s="219"/>
      <c r="C763" s="219"/>
      <c r="D763" s="219"/>
      <c r="E763" s="219"/>
      <c r="F763" s="219"/>
      <c r="G763" s="219"/>
      <c r="H763" s="219"/>
      <c r="I763" s="219"/>
      <c r="J763" s="219"/>
    </row>
    <row r="764" spans="1:10">
      <c r="A764" s="120"/>
      <c r="B764" s="219"/>
      <c r="C764" s="219"/>
      <c r="D764" s="219"/>
      <c r="E764" s="219"/>
      <c r="F764" s="219"/>
      <c r="G764" s="219"/>
      <c r="H764" s="219"/>
      <c r="I764" s="219"/>
      <c r="J764" s="219"/>
    </row>
    <row r="765" spans="1:10">
      <c r="A765" s="120"/>
      <c r="B765" s="219"/>
      <c r="C765" s="219"/>
      <c r="D765" s="219"/>
      <c r="E765" s="219"/>
      <c r="F765" s="219"/>
      <c r="G765" s="219"/>
      <c r="H765" s="219"/>
      <c r="I765" s="219"/>
      <c r="J765" s="219"/>
    </row>
    <row r="766" spans="1:10">
      <c r="A766" s="120"/>
      <c r="B766" s="219"/>
      <c r="C766" s="219"/>
      <c r="D766" s="219"/>
      <c r="E766" s="219"/>
      <c r="F766" s="219"/>
      <c r="G766" s="219"/>
      <c r="H766" s="219"/>
      <c r="I766" s="219"/>
      <c r="J766" s="219"/>
    </row>
    <row r="767" spans="1:10">
      <c r="A767" s="120"/>
      <c r="B767" s="219"/>
      <c r="C767" s="219"/>
      <c r="D767" s="219"/>
      <c r="E767" s="219"/>
      <c r="F767" s="219"/>
      <c r="G767" s="219"/>
      <c r="H767" s="219"/>
      <c r="I767" s="219"/>
      <c r="J767" s="219"/>
    </row>
    <row r="768" spans="1:10">
      <c r="A768" s="120"/>
      <c r="B768" s="219"/>
      <c r="C768" s="219"/>
      <c r="D768" s="219"/>
      <c r="E768" s="219"/>
      <c r="F768" s="219"/>
      <c r="G768" s="219"/>
      <c r="H768" s="219"/>
      <c r="I768" s="219"/>
      <c r="J768" s="219"/>
    </row>
    <row r="769" spans="1:10">
      <c r="A769" s="120"/>
      <c r="B769" s="219"/>
      <c r="C769" s="219"/>
      <c r="D769" s="219"/>
      <c r="E769" s="219"/>
      <c r="F769" s="219"/>
      <c r="G769" s="219"/>
      <c r="H769" s="219"/>
      <c r="I769" s="219"/>
      <c r="J769" s="219"/>
    </row>
    <row r="770" spans="1:10">
      <c r="A770" s="120"/>
      <c r="B770" s="219"/>
      <c r="C770" s="219"/>
      <c r="D770" s="219"/>
      <c r="E770" s="219"/>
      <c r="F770" s="219"/>
      <c r="G770" s="219"/>
      <c r="H770" s="219"/>
      <c r="I770" s="219"/>
      <c r="J770" s="219"/>
    </row>
    <row r="771" spans="1:10">
      <c r="A771" s="120"/>
      <c r="B771" s="219"/>
      <c r="C771" s="219"/>
      <c r="D771" s="219"/>
      <c r="E771" s="219"/>
      <c r="F771" s="219"/>
      <c r="G771" s="219"/>
      <c r="H771" s="219"/>
      <c r="I771" s="219"/>
      <c r="J771" s="219"/>
    </row>
    <row r="772" spans="1:10">
      <c r="A772" s="120"/>
      <c r="B772" s="219"/>
      <c r="C772" s="219"/>
      <c r="D772" s="219"/>
      <c r="E772" s="219"/>
      <c r="F772" s="219"/>
      <c r="G772" s="219"/>
      <c r="H772" s="219"/>
      <c r="I772" s="219"/>
      <c r="J772" s="219"/>
    </row>
    <row r="773" spans="1:10">
      <c r="A773" s="120"/>
      <c r="B773" s="219"/>
      <c r="C773" s="219"/>
      <c r="D773" s="219"/>
      <c r="E773" s="219"/>
      <c r="F773" s="219"/>
      <c r="G773" s="219"/>
      <c r="H773" s="219"/>
      <c r="I773" s="219"/>
      <c r="J773" s="219"/>
    </row>
    <row r="774" spans="1:10">
      <c r="A774" s="120"/>
      <c r="B774" s="219"/>
      <c r="C774" s="219"/>
      <c r="D774" s="219"/>
      <c r="E774" s="219"/>
      <c r="F774" s="219"/>
      <c r="G774" s="219"/>
      <c r="H774" s="219"/>
      <c r="I774" s="219"/>
      <c r="J774" s="219"/>
    </row>
    <row r="775" spans="1:10">
      <c r="A775" s="120"/>
      <c r="B775" s="219"/>
      <c r="C775" s="219"/>
      <c r="D775" s="219"/>
      <c r="E775" s="219"/>
      <c r="F775" s="219"/>
      <c r="G775" s="219"/>
      <c r="H775" s="219"/>
      <c r="I775" s="219"/>
      <c r="J775" s="219"/>
    </row>
  </sheetData>
  <sheetProtection formatCells="0" formatColumns="0" formatRows="0" insertColumns="0" insertRows="0" insertHyperlinks="0" deleteColumns="0" deleteRows="0" selectLockedCells="1" sort="0" autoFilter="0" pivotTables="0"/>
  <dataConsolidate/>
  <dataValidations count="18">
    <dataValidation type="list" allowBlank="1" showInputMessage="1" showErrorMessage="1" sqref="D8">
      <formula1>CModulos</formula1>
    </dataValidation>
    <dataValidation type="list" allowBlank="1" showInputMessage="1" showErrorMessage="1" sqref="D9:D10">
      <formula1>CControladores</formula1>
    </dataValidation>
    <dataValidation type="list" allowBlank="1" showInputMessage="1" showErrorMessage="1" sqref="D11">
      <formula1>CBaterias</formula1>
    </dataValidation>
    <dataValidation type="list" allowBlank="1" showInputMessage="1" showErrorMessage="1" sqref="D12:D13">
      <formula1>CInversor</formula1>
    </dataValidation>
    <dataValidation type="list" allowBlank="1" showInputMessage="1" showErrorMessage="1" sqref="D14:D15">
      <formula1>CMRyPAR</formula1>
    </dataValidation>
    <dataValidation type="list" allowBlank="1" showInputMessage="1" showErrorMessage="1" sqref="D16">
      <formula1>CLuminarias</formula1>
    </dataValidation>
    <dataValidation type="list" allowBlank="1" showInputMessage="1" showErrorMessage="1" sqref="D17">
      <formula1>CKit</formula1>
    </dataValidation>
    <dataValidation type="list" allowBlank="1" showInputMessage="1" showErrorMessage="1" sqref="D18">
      <formula1>CTablero</formula1>
    </dataValidation>
    <dataValidation type="list" allowBlank="1" showInputMessage="1" showErrorMessage="1" sqref="D19">
      <formula1>CBastidor</formula1>
    </dataValidation>
    <dataValidation type="list" allowBlank="1" showInputMessage="1" showErrorMessage="1" sqref="D20">
      <formula1>CSoporte</formula1>
    </dataValidation>
    <dataValidation type="list" allowBlank="1" showInputMessage="1" showErrorMessage="1" sqref="D21">
      <formula1>CGabinete</formula1>
    </dataValidation>
    <dataValidation type="list" allowBlank="1" showInputMessage="1" showErrorMessage="1" sqref="D22">
      <formula1>CRefrigerador</formula1>
    </dataValidation>
    <dataValidation type="list" allowBlank="1" showInputMessage="1" showErrorMessage="1" sqref="D23:D25">
      <formula1>CMaterial</formula1>
    </dataValidation>
    <dataValidation type="list" allowBlank="1" showInputMessage="1" showErrorMessage="1" sqref="D26">
      <formula1>CBombeo</formula1>
    </dataValidation>
    <dataValidation type="list" allowBlank="1" showInputMessage="1" showErrorMessage="1" sqref="D27">
      <formula1>CControlador</formula1>
    </dataValidation>
    <dataValidation type="list" allowBlank="1" showInputMessage="1" showErrorMessage="1" sqref="D28">
      <formula1>CRayos</formula1>
    </dataValidation>
    <dataValidation type="list" allowBlank="1" showInputMessage="1" showErrorMessage="1" sqref="D29">
      <formula1>CMastil</formula1>
    </dataValidation>
    <dataValidation type="whole" allowBlank="1" showInputMessage="1" showErrorMessage="1" sqref="F8:F30">
      <formula1>0</formula1>
      <formula2>50000</formula2>
    </dataValidation>
  </dataValidations>
  <pageMargins left="0.7" right="0.7" top="0.75" bottom="0.75" header="0.3" footer="0.3"/>
  <pageSetup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9250" r:id="rId4" name="Button 34">
              <controlPr defaultSize="0" print="0" autoFill="0" autoPict="0" macro="[0]!borrado2">
                <anchor moveWithCells="1" sizeWithCells="1">
                  <from>
                    <xdr:col>5</xdr:col>
                    <xdr:colOff>0</xdr:colOff>
                    <xdr:row>4</xdr:row>
                    <xdr:rowOff>114300</xdr:rowOff>
                  </from>
                  <to>
                    <xdr:col>6</xdr:col>
                    <xdr:colOff>0</xdr:colOff>
                    <xdr:row>5</xdr:row>
                    <xdr:rowOff>9525</xdr:rowOff>
                  </to>
                </anchor>
              </controlPr>
            </control>
          </mc:Choice>
        </mc:AlternateContent>
        <mc:AlternateContent xmlns:mc="http://schemas.openxmlformats.org/markup-compatibility/2006">
          <mc:Choice Requires="x14">
            <control shapeId="9253" r:id="rId5" name="Button 37">
              <controlPr defaultSize="0" print="0" autoFill="0" autoPict="0" macro="[0]!CopyNoBlanks">
                <anchor moveWithCells="1" sizeWithCells="1">
                  <from>
                    <xdr:col>3</xdr:col>
                    <xdr:colOff>0</xdr:colOff>
                    <xdr:row>3</xdr:row>
                    <xdr:rowOff>171450</xdr:rowOff>
                  </from>
                  <to>
                    <xdr:col>5</xdr:col>
                    <xdr:colOff>0</xdr:colOff>
                    <xdr:row>5</xdr:row>
                    <xdr:rowOff>0</xdr:rowOff>
                  </to>
                </anchor>
              </controlPr>
            </control>
          </mc:Choice>
        </mc:AlternateContent>
      </controls>
    </mc:Choice>
  </mc:AlternateContent>
  <tableParts count="1">
    <tablePart r:id="rId6"/>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'Catalogo-Datos'!$F$177:$F$180</xm:f>
          </x14:formula1>
          <xm:sqref>D30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tabColor rgb="FF92D050"/>
  </sheetPr>
  <dimension ref="A1:G83"/>
  <sheetViews>
    <sheetView topLeftCell="A28" zoomScale="115" zoomScaleNormal="115" workbookViewId="0">
      <selection activeCell="A21" sqref="A21"/>
    </sheetView>
  </sheetViews>
  <sheetFormatPr baseColWidth="10" defaultColWidth="11.42578125" defaultRowHeight="15"/>
  <cols>
    <col min="1" max="1" width="10" style="406" customWidth="1"/>
    <col min="2" max="2" width="40.42578125" style="174" customWidth="1"/>
    <col min="3" max="3" width="8.42578125" style="174" customWidth="1"/>
    <col min="4" max="4" width="12.85546875" style="174" customWidth="1"/>
    <col min="5" max="5" width="15" style="174" customWidth="1"/>
    <col min="6" max="16384" width="11.42578125" style="161"/>
  </cols>
  <sheetData>
    <row r="1" spans="1:5" ht="78.75" customHeight="1"/>
    <row r="2" spans="1:5" ht="17.25" customHeight="1">
      <c r="A2" s="475" t="s">
        <v>126</v>
      </c>
      <c r="B2" s="475"/>
      <c r="C2" s="475"/>
      <c r="D2" s="475"/>
      <c r="E2" s="475"/>
    </row>
    <row r="3" spans="1:5" ht="17.25" customHeight="1">
      <c r="A3" s="476" t="s">
        <v>127</v>
      </c>
      <c r="B3" s="476"/>
      <c r="C3" s="476"/>
      <c r="D3" s="476"/>
      <c r="E3" s="476"/>
    </row>
    <row r="4" spans="1:5" ht="17.25" customHeight="1">
      <c r="A4" s="476" t="s">
        <v>128</v>
      </c>
      <c r="B4" s="476"/>
      <c r="C4" s="476"/>
      <c r="D4" s="476"/>
      <c r="E4" s="476"/>
    </row>
    <row r="5" spans="1:5" ht="17.25" customHeight="1">
      <c r="A5" s="476" t="s">
        <v>129</v>
      </c>
      <c r="B5" s="476"/>
      <c r="C5" s="476"/>
      <c r="D5" s="476"/>
      <c r="E5" s="476"/>
    </row>
    <row r="6" spans="1:5" ht="17.25" customHeight="1" thickBot="1">
      <c r="A6" s="407" t="s">
        <v>130</v>
      </c>
      <c r="B6" s="175"/>
      <c r="C6" s="477" t="s">
        <v>131</v>
      </c>
      <c r="D6" s="478"/>
      <c r="E6" s="478"/>
    </row>
    <row r="7" spans="1:5" ht="15.75" customHeight="1">
      <c r="A7" s="408" t="s">
        <v>132</v>
      </c>
      <c r="B7" s="122" t="s">
        <v>133</v>
      </c>
      <c r="C7" s="479" t="s">
        <v>134</v>
      </c>
      <c r="D7" s="479"/>
      <c r="E7" s="123" t="s">
        <v>135</v>
      </c>
    </row>
    <row r="8" spans="1:5" ht="15.75" customHeight="1">
      <c r="A8" s="409" t="s">
        <v>136</v>
      </c>
      <c r="B8" s="480" t="s">
        <v>762</v>
      </c>
      <c r="C8" s="480"/>
      <c r="D8" s="163" t="s">
        <v>137</v>
      </c>
      <c r="E8" s="124">
        <f ca="1">TODAY()</f>
        <v>43407</v>
      </c>
    </row>
    <row r="9" spans="1:5" ht="15.75" customHeight="1">
      <c r="A9" s="409" t="s">
        <v>138</v>
      </c>
      <c r="B9" s="125" t="s">
        <v>428</v>
      </c>
      <c r="C9" s="164"/>
      <c r="D9" s="164"/>
      <c r="E9" s="165" t="s">
        <v>428</v>
      </c>
    </row>
    <row r="10" spans="1:5" ht="15.75" customHeight="1">
      <c r="A10" s="409" t="s">
        <v>139</v>
      </c>
      <c r="B10" s="125" t="s">
        <v>763</v>
      </c>
      <c r="C10" s="164"/>
      <c r="D10" s="164"/>
      <c r="E10" s="165" t="s">
        <v>428</v>
      </c>
    </row>
    <row r="11" spans="1:5" ht="15.75" customHeight="1">
      <c r="A11" s="409" t="s">
        <v>140</v>
      </c>
      <c r="B11" s="125" t="s">
        <v>764</v>
      </c>
      <c r="C11" s="166" t="s">
        <v>141</v>
      </c>
      <c r="D11" s="481"/>
      <c r="E11" s="482"/>
    </row>
    <row r="12" spans="1:5" ht="30" customHeight="1">
      <c r="A12" s="409" t="s">
        <v>641</v>
      </c>
      <c r="B12" s="483" t="s">
        <v>765</v>
      </c>
      <c r="C12" s="484"/>
      <c r="D12" s="484"/>
      <c r="E12" s="485"/>
    </row>
    <row r="13" spans="1:5" ht="15.75" customHeight="1" thickBot="1">
      <c r="A13" s="410" t="s">
        <v>142</v>
      </c>
      <c r="B13" s="255"/>
      <c r="C13" s="126"/>
      <c r="D13" s="126" t="s">
        <v>434</v>
      </c>
      <c r="E13" s="167">
        <f>E16</f>
        <v>715</v>
      </c>
    </row>
    <row r="14" spans="1:5" ht="5.25" customHeight="1" thickBot="1">
      <c r="A14" s="409"/>
      <c r="B14" s="127"/>
      <c r="C14" s="127"/>
      <c r="D14" s="127"/>
      <c r="E14" s="176"/>
    </row>
    <row r="15" spans="1:5" ht="15" customHeight="1">
      <c r="A15" s="411" t="s">
        <v>435</v>
      </c>
      <c r="B15" s="177"/>
      <c r="C15" s="177" t="s">
        <v>143</v>
      </c>
      <c r="D15" s="177">
        <f>C16*C21</f>
        <v>130</v>
      </c>
      <c r="E15" s="178"/>
    </row>
    <row r="16" spans="1:5" ht="15" customHeight="1">
      <c r="A16" s="412">
        <f>C21</f>
        <v>1</v>
      </c>
      <c r="B16" s="127" t="s">
        <v>436</v>
      </c>
      <c r="C16" s="179">
        <v>130</v>
      </c>
      <c r="D16" s="127">
        <v>5.5</v>
      </c>
      <c r="E16" s="180">
        <f>C21*C16*D16</f>
        <v>715</v>
      </c>
    </row>
    <row r="17" spans="1:5" ht="15" customHeight="1">
      <c r="A17" s="413">
        <v>0.2</v>
      </c>
      <c r="B17" s="181">
        <f>E16*A17</f>
        <v>143</v>
      </c>
      <c r="C17" s="182"/>
      <c r="D17" s="183" t="s">
        <v>508</v>
      </c>
      <c r="E17" s="184">
        <f>E16-B17</f>
        <v>572</v>
      </c>
    </row>
    <row r="18" spans="1:5" ht="15" customHeight="1" thickBot="1">
      <c r="A18" s="414" t="s">
        <v>145</v>
      </c>
      <c r="B18" s="185" t="s">
        <v>146</v>
      </c>
      <c r="C18" s="185" t="s">
        <v>147</v>
      </c>
      <c r="D18" s="185" t="s">
        <v>148</v>
      </c>
      <c r="E18" s="186" t="s">
        <v>50</v>
      </c>
    </row>
    <row r="19" spans="1:5" ht="5.25" customHeight="1" thickBot="1">
      <c r="A19" s="415"/>
      <c r="B19" s="187"/>
      <c r="C19" s="187"/>
      <c r="D19" s="187"/>
      <c r="E19" s="187"/>
    </row>
    <row r="20" spans="1:5" ht="20.100000000000001" customHeight="1" thickBot="1">
      <c r="A20" s="416"/>
      <c r="B20" s="188"/>
      <c r="C20" s="188"/>
      <c r="D20" s="188"/>
      <c r="E20" s="189"/>
    </row>
    <row r="21" spans="1:5" ht="36" customHeight="1">
      <c r="A21" s="262" t="s">
        <v>668</v>
      </c>
      <c r="B21" s="162" t="str">
        <f t="shared" ref="B21:B41" si="0">IFERROR(VLOOKUP(A21,MatrizCotizador,2,FALSE),"-")</f>
        <v>Módulo multicristalino 150W. Garantía de potencia lineal de 85% a 12 años.Nacionales</v>
      </c>
      <c r="C21" s="253">
        <f>IFERROR(VLOOKUP(A21,COTIZADOR!$D$8:$F$30,3,FALSE),"-")</f>
        <v>1</v>
      </c>
      <c r="D21" s="245">
        <f t="shared" ref="D21:D41" si="1">IFERROR(VLOOKUP(A21,MatrizCotizador,4,FALSE),"-")</f>
        <v>4365</v>
      </c>
      <c r="E21" s="314">
        <f>IFERROR(D21*C21,"-")</f>
        <v>4365</v>
      </c>
    </row>
    <row r="22" spans="1:5" ht="54.6" customHeight="1">
      <c r="A22" s="262" t="s">
        <v>483</v>
      </c>
      <c r="B22" s="162" t="str">
        <f t="shared" si="0"/>
        <v>-</v>
      </c>
      <c r="C22" s="253" t="str">
        <f>IFERROR(VLOOKUP(A22,COTIZADOR!$D$8:$F$30,3,FALSE),"-")</f>
        <v>-</v>
      </c>
      <c r="D22" s="245" t="str">
        <f t="shared" si="1"/>
        <v>-</v>
      </c>
      <c r="E22" s="314" t="str">
        <f t="shared" ref="E22:E41" si="2">IFERROR(D22*C22,"-")</f>
        <v>-</v>
      </c>
    </row>
    <row r="23" spans="1:5" ht="33.6" customHeight="1">
      <c r="A23" s="262" t="s">
        <v>606</v>
      </c>
      <c r="B23" s="162" t="str">
        <f t="shared" si="0"/>
        <v xml:space="preserve">Batería  Para Uso Fotovoltaico 12 V, 115 Ah @ 100 hr, libre de mantenimiento. Vida útil: 3 a 4 años. </v>
      </c>
      <c r="C23" s="253">
        <f>IFERROR(VLOOKUP(A23,COTIZADOR!$D$8:$F$30,3,FALSE),"-")</f>
        <v>1</v>
      </c>
      <c r="D23" s="245">
        <f t="shared" si="1"/>
        <v>2640</v>
      </c>
      <c r="E23" s="314">
        <f t="shared" si="2"/>
        <v>2640</v>
      </c>
    </row>
    <row r="24" spans="1:5" ht="42.75" customHeight="1">
      <c r="A24" s="259" t="s">
        <v>479</v>
      </c>
      <c r="B24" s="162" t="str">
        <f t="shared" si="0"/>
        <v>-</v>
      </c>
      <c r="C24" s="253" t="str">
        <f>IFERROR(VLOOKUP(A24,COTIZADOR!$D$8:$F$30,3,FALSE),"-")</f>
        <v>-</v>
      </c>
      <c r="D24" s="245" t="str">
        <f t="shared" si="1"/>
        <v>-</v>
      </c>
      <c r="E24" s="314" t="str">
        <f t="shared" si="2"/>
        <v>-</v>
      </c>
    </row>
    <row r="25" spans="1:5" ht="42" customHeight="1">
      <c r="A25" s="259" t="s">
        <v>317</v>
      </c>
      <c r="B25" s="162" t="str">
        <f t="shared" si="0"/>
        <v>-</v>
      </c>
      <c r="C25" s="253" t="str">
        <f>IFERROR(VLOOKUP(A25,COTIZADOR!$D$8:$F$30,3,FALSE),"-")</f>
        <v>-</v>
      </c>
      <c r="D25" s="245" t="str">
        <f t="shared" si="1"/>
        <v>-</v>
      </c>
      <c r="E25" s="314" t="str">
        <f t="shared" si="2"/>
        <v>-</v>
      </c>
    </row>
    <row r="26" spans="1:5" ht="40.5" customHeight="1">
      <c r="A26" s="259" t="s">
        <v>303</v>
      </c>
      <c r="B26" s="162" t="str">
        <f t="shared" si="0"/>
        <v xml:space="preserve">Kit electrico para iliminacion a Corriente Alterna Incluye Clavija, Socket, Socket de Cadena Apagador Y accesorios para instalar </v>
      </c>
      <c r="C26" s="253">
        <f>IFERROR(VLOOKUP(A26,COTIZADOR!$D$8:$F$30,3,FALSE),"-")</f>
        <v>0</v>
      </c>
      <c r="D26" s="245">
        <f t="shared" si="1"/>
        <v>0</v>
      </c>
      <c r="E26" s="314">
        <f t="shared" si="2"/>
        <v>0</v>
      </c>
    </row>
    <row r="27" spans="1:5" ht="51" customHeight="1">
      <c r="A27" s="259" t="s">
        <v>235</v>
      </c>
      <c r="B27" s="162" t="str">
        <f t="shared" si="0"/>
        <v>-</v>
      </c>
      <c r="C27" s="253" t="str">
        <f>IFERROR(VLOOKUP(A27,COTIZADOR!$D$8:$F$30,3,FALSE),"-")</f>
        <v>-</v>
      </c>
      <c r="D27" s="245" t="str">
        <f t="shared" si="1"/>
        <v>-</v>
      </c>
      <c r="E27" s="314" t="str">
        <f t="shared" si="2"/>
        <v>-</v>
      </c>
    </row>
    <row r="28" spans="1:5" ht="39" customHeight="1">
      <c r="A28" s="259" t="s">
        <v>337</v>
      </c>
      <c r="B28" s="162" t="str">
        <f t="shared" si="0"/>
        <v xml:space="preserve">Bastidor de aluminio para 1módulos de 50 W a 130 W para fijación a piso o losa, incluye tornillería inoxidable y escuadras para fijación </v>
      </c>
      <c r="C28" s="253">
        <f>IFERROR(VLOOKUP(A28,COTIZADOR!$D$8:$F$30,3,FALSE),"-")</f>
        <v>1</v>
      </c>
      <c r="D28" s="245">
        <f t="shared" si="1"/>
        <v>945</v>
      </c>
      <c r="E28" s="314">
        <f t="shared" si="2"/>
        <v>945</v>
      </c>
    </row>
    <row r="29" spans="1:5" ht="39.950000000000003" customHeight="1">
      <c r="A29" s="259" t="s">
        <v>760</v>
      </c>
      <c r="B29" s="162" t="str">
        <f t="shared" si="0"/>
        <v xml:space="preserve">Material electrico para instalacion de planta solar INCLUYE: Cableado   necesario  para conexión de modulos y planta, Accesorios, Cableado diferentes calibres, (Protecciones especiales.  </v>
      </c>
      <c r="C29" s="253">
        <f>IFERROR(VLOOKUP(A29,COTIZADOR!$D$8:$F$30,3,FALSE),"-")</f>
        <v>1</v>
      </c>
      <c r="D29" s="245">
        <f t="shared" si="1"/>
        <v>1050</v>
      </c>
      <c r="E29" s="314">
        <f t="shared" si="2"/>
        <v>1050</v>
      </c>
    </row>
    <row r="30" spans="1:5" ht="16.899999999999999" customHeight="1">
      <c r="A30" s="202" t="s">
        <v>614</v>
      </c>
      <c r="B30" s="162" t="str">
        <f t="shared" si="0"/>
        <v xml:space="preserve">Servicio Tecnico Calificado-3 Traslado al sitio Inspeccion Visual Y tecnico para diagnosticar fallas y posibles soluciones para restaurar planta solar  </v>
      </c>
      <c r="C30" s="253">
        <f>IFERROR(VLOOKUP(A30,COTIZADOR!$D$8:$F$30,3,FALSE),"-")</f>
        <v>4</v>
      </c>
      <c r="D30" s="245">
        <f t="shared" si="1"/>
        <v>1680</v>
      </c>
      <c r="E30" s="314">
        <f t="shared" si="2"/>
        <v>6720</v>
      </c>
    </row>
    <row r="31" spans="1:5" ht="3" customHeight="1">
      <c r="A31" s="319"/>
      <c r="B31" s="162" t="str">
        <f t="shared" si="0"/>
        <v>-</v>
      </c>
      <c r="C31" s="253" t="str">
        <f>IFERROR(VLOOKUP(A31,COTIZADOR!$D$8:$F$30,3,FALSE),"-")</f>
        <v>-</v>
      </c>
      <c r="D31" s="245" t="str">
        <f t="shared" si="1"/>
        <v>-</v>
      </c>
      <c r="E31" s="314" t="str">
        <f t="shared" si="2"/>
        <v>-</v>
      </c>
    </row>
    <row r="32" spans="1:5" ht="3" customHeight="1">
      <c r="A32" s="319"/>
      <c r="B32" s="162" t="str">
        <f t="shared" si="0"/>
        <v>-</v>
      </c>
      <c r="C32" s="253" t="str">
        <f>IFERROR(VLOOKUP(A32,COTIZADOR!$D$8:$F$30,3,FALSE),"-")</f>
        <v>-</v>
      </c>
      <c r="D32" s="245" t="str">
        <f t="shared" si="1"/>
        <v>-</v>
      </c>
      <c r="E32" s="314" t="str">
        <f t="shared" si="2"/>
        <v>-</v>
      </c>
    </row>
    <row r="33" spans="1:7" ht="3" customHeight="1">
      <c r="A33" s="319"/>
      <c r="B33" s="162" t="str">
        <f t="shared" si="0"/>
        <v>-</v>
      </c>
      <c r="C33" s="253" t="str">
        <f>IFERROR(VLOOKUP(A33,COTIZADOR!$D$8:$F$30,3,FALSE),"-")</f>
        <v>-</v>
      </c>
      <c r="D33" s="245" t="str">
        <f t="shared" si="1"/>
        <v>-</v>
      </c>
      <c r="E33" s="314" t="str">
        <f t="shared" si="2"/>
        <v>-</v>
      </c>
    </row>
    <row r="34" spans="1:7" ht="3" customHeight="1">
      <c r="A34" s="319"/>
      <c r="B34" s="162" t="str">
        <f t="shared" si="0"/>
        <v>-</v>
      </c>
      <c r="C34" s="253" t="str">
        <f>IFERROR(VLOOKUP(A34,COTIZADOR!$D$8:$F$30,3,FALSE),"-")</f>
        <v>-</v>
      </c>
      <c r="D34" s="245" t="str">
        <f t="shared" si="1"/>
        <v>-</v>
      </c>
      <c r="E34" s="314" t="str">
        <f t="shared" si="2"/>
        <v>-</v>
      </c>
    </row>
    <row r="35" spans="1:7" ht="3" customHeight="1">
      <c r="A35" s="319"/>
      <c r="B35" s="162" t="str">
        <f t="shared" si="0"/>
        <v>-</v>
      </c>
      <c r="C35" s="253" t="str">
        <f>IFERROR(VLOOKUP(A35,COTIZADOR!$D$8:$F$30,3,FALSE),"-")</f>
        <v>-</v>
      </c>
      <c r="D35" s="245" t="str">
        <f t="shared" si="1"/>
        <v>-</v>
      </c>
      <c r="E35" s="314" t="str">
        <f t="shared" si="2"/>
        <v>-</v>
      </c>
    </row>
    <row r="36" spans="1:7" ht="3" customHeight="1">
      <c r="A36" s="319"/>
      <c r="B36" s="162" t="str">
        <f t="shared" si="0"/>
        <v>-</v>
      </c>
      <c r="C36" s="253" t="str">
        <f>IFERROR(VLOOKUP(A36,COTIZADOR!$D$8:$F$30,3,FALSE),"-")</f>
        <v>-</v>
      </c>
      <c r="D36" s="245" t="str">
        <f t="shared" si="1"/>
        <v>-</v>
      </c>
      <c r="E36" s="314" t="str">
        <f t="shared" si="2"/>
        <v>-</v>
      </c>
    </row>
    <row r="37" spans="1:7" ht="3" customHeight="1">
      <c r="A37" s="319"/>
      <c r="B37" s="162" t="str">
        <f t="shared" si="0"/>
        <v>-</v>
      </c>
      <c r="C37" s="253" t="str">
        <f>IFERROR(VLOOKUP(A37,COTIZADOR!$D$8:$F$30,3,FALSE),"-")</f>
        <v>-</v>
      </c>
      <c r="D37" s="245" t="str">
        <f t="shared" si="1"/>
        <v>-</v>
      </c>
      <c r="E37" s="314" t="str">
        <f t="shared" si="2"/>
        <v>-</v>
      </c>
    </row>
    <row r="38" spans="1:7" ht="3" customHeight="1">
      <c r="A38" s="319"/>
      <c r="B38" s="162" t="str">
        <f t="shared" si="0"/>
        <v>-</v>
      </c>
      <c r="C38" s="253" t="str">
        <f>IFERROR(VLOOKUP(A38,COTIZADOR!$D$8:$F$30,3,FALSE),"-")</f>
        <v>-</v>
      </c>
      <c r="D38" s="245" t="str">
        <f t="shared" si="1"/>
        <v>-</v>
      </c>
      <c r="E38" s="314" t="str">
        <f t="shared" si="2"/>
        <v>-</v>
      </c>
    </row>
    <row r="39" spans="1:7" ht="3" customHeight="1">
      <c r="A39" s="319"/>
      <c r="B39" s="162" t="str">
        <f t="shared" si="0"/>
        <v>-</v>
      </c>
      <c r="C39" s="253" t="str">
        <f>IFERROR(VLOOKUP(A39,COTIZADOR!$D$8:$F$30,3,FALSE),"-")</f>
        <v>-</v>
      </c>
      <c r="D39" s="245" t="str">
        <f t="shared" si="1"/>
        <v>-</v>
      </c>
      <c r="E39" s="314" t="str">
        <f t="shared" si="2"/>
        <v>-</v>
      </c>
    </row>
    <row r="40" spans="1:7" ht="3" customHeight="1">
      <c r="A40" s="319"/>
      <c r="B40" s="162" t="str">
        <f t="shared" si="0"/>
        <v>-</v>
      </c>
      <c r="C40" s="253" t="str">
        <f>IFERROR(VLOOKUP(A40,COTIZADOR!$D$8:$F$30,3,FALSE),"-")</f>
        <v>-</v>
      </c>
      <c r="D40" s="245" t="str">
        <f t="shared" si="1"/>
        <v>-</v>
      </c>
      <c r="E40" s="314" t="str">
        <f>IFERROR(D40*C40,"-")</f>
        <v>-</v>
      </c>
    </row>
    <row r="41" spans="1:7" ht="3" customHeight="1">
      <c r="A41" s="319"/>
      <c r="B41" s="162" t="str">
        <f t="shared" si="0"/>
        <v>-</v>
      </c>
      <c r="C41" s="253" t="str">
        <f>IFERROR(VLOOKUP(A41,COTIZADOR!$D$8:$F$30,3,FALSE),"-")</f>
        <v>-</v>
      </c>
      <c r="D41" s="245" t="str">
        <f t="shared" si="1"/>
        <v>-</v>
      </c>
      <c r="E41" s="314" t="str">
        <f t="shared" si="2"/>
        <v>-</v>
      </c>
    </row>
    <row r="42" spans="1:7" ht="3" customHeight="1">
      <c r="A42" s="319"/>
      <c r="B42" s="162" t="str">
        <f t="shared" ref="B42:B44" si="3">IFERROR(VLOOKUP(A42,MatrizCotizador,2,FALSE),"-")</f>
        <v>-</v>
      </c>
      <c r="C42" s="253" t="str">
        <f>IFERROR(VLOOKUP(A42,COTIZADOR!$D$8:$F$30,3,FALSE),"-")</f>
        <v>-</v>
      </c>
      <c r="D42" s="245" t="str">
        <f t="shared" ref="D42:D44" si="4">IFERROR(VLOOKUP(A42,MatrizCotizador,4,FALSE),"-")</f>
        <v>-</v>
      </c>
      <c r="E42" s="314" t="str">
        <f t="shared" ref="E42:E44" si="5">IFERROR(D42*C42,"-")</f>
        <v>-</v>
      </c>
    </row>
    <row r="43" spans="1:7" ht="3" customHeight="1">
      <c r="A43" s="319"/>
      <c r="B43" s="162" t="str">
        <f t="shared" si="3"/>
        <v>-</v>
      </c>
      <c r="C43" s="253" t="str">
        <f>IFERROR(VLOOKUP(A43,COTIZADOR!$D$8:$F$30,3,FALSE),"-")</f>
        <v>-</v>
      </c>
      <c r="D43" s="245" t="str">
        <f t="shared" si="4"/>
        <v>-</v>
      </c>
      <c r="E43" s="314" t="str">
        <f t="shared" si="5"/>
        <v>-</v>
      </c>
    </row>
    <row r="44" spans="1:7" ht="3" customHeight="1">
      <c r="A44" s="417"/>
      <c r="B44" s="162" t="str">
        <f t="shared" si="3"/>
        <v>-</v>
      </c>
      <c r="C44" s="253" t="str">
        <f>IFERROR(VLOOKUP(A44,COTIZADOR!$D$8:$F$30,3,FALSE),"-")</f>
        <v>-</v>
      </c>
      <c r="D44" s="245" t="str">
        <f t="shared" si="4"/>
        <v>-</v>
      </c>
      <c r="E44" s="314" t="str">
        <f t="shared" si="5"/>
        <v>-</v>
      </c>
    </row>
    <row r="45" spans="1:7" ht="15" customHeight="1">
      <c r="A45" s="487" t="s">
        <v>589</v>
      </c>
      <c r="B45" s="487"/>
      <c r="C45" s="487"/>
      <c r="D45" s="488"/>
      <c r="E45" s="315">
        <f>SUM(E21:E44)</f>
        <v>15720</v>
      </c>
      <c r="F45" s="295"/>
      <c r="G45" s="295"/>
    </row>
    <row r="46" spans="1:7" ht="15" customHeight="1" thickBot="1">
      <c r="A46" s="418"/>
      <c r="B46" s="486" t="s">
        <v>516</v>
      </c>
      <c r="C46" s="486"/>
      <c r="D46" s="486"/>
      <c r="E46" s="316">
        <f>E45</f>
        <v>15720</v>
      </c>
      <c r="F46" s="295"/>
      <c r="G46" s="295"/>
    </row>
    <row r="47" spans="1:7" ht="15" customHeight="1">
      <c r="A47" s="418"/>
      <c r="B47" s="386"/>
      <c r="C47" s="386"/>
      <c r="D47" s="399">
        <v>0</v>
      </c>
      <c r="E47" s="398">
        <f>E46*D47</f>
        <v>0</v>
      </c>
      <c r="F47" s="295"/>
      <c r="G47" s="295"/>
    </row>
    <row r="48" spans="1:7" ht="15" customHeight="1">
      <c r="A48" s="418"/>
      <c r="B48" s="386"/>
      <c r="C48" s="386"/>
      <c r="D48" s="399"/>
      <c r="E48" s="398">
        <f>E46+E47</f>
        <v>15720</v>
      </c>
      <c r="F48" s="295"/>
      <c r="G48" s="295"/>
    </row>
    <row r="49" spans="1:7" ht="15" customHeight="1">
      <c r="A49" s="418"/>
      <c r="B49" s="296"/>
      <c r="C49" s="297" t="s">
        <v>149</v>
      </c>
      <c r="D49" s="298">
        <v>0.16</v>
      </c>
      <c r="E49" s="317">
        <f>E48*D49</f>
        <v>2515.2000000000003</v>
      </c>
      <c r="F49" s="295"/>
      <c r="G49" s="295"/>
    </row>
    <row r="50" spans="1:7" ht="15" customHeight="1">
      <c r="A50" s="472"/>
      <c r="B50" s="472"/>
      <c r="C50" s="299"/>
      <c r="D50" s="298" t="s">
        <v>382</v>
      </c>
      <c r="E50" s="318">
        <f>E49+E48</f>
        <v>18235.2</v>
      </c>
      <c r="F50" s="295"/>
      <c r="G50" s="295"/>
    </row>
    <row r="51" spans="1:7" ht="15.75" customHeight="1" thickBot="1">
      <c r="A51" s="471"/>
      <c r="B51" s="471"/>
      <c r="C51" s="471"/>
      <c r="D51" s="471"/>
      <c r="E51" s="471"/>
    </row>
    <row r="52" spans="1:7" ht="16.5" thickBot="1">
      <c r="A52" s="473" t="s">
        <v>642</v>
      </c>
      <c r="B52" s="474"/>
      <c r="C52" s="190"/>
      <c r="D52" s="160"/>
      <c r="E52" s="246"/>
    </row>
    <row r="53" spans="1:7" ht="15.75">
      <c r="A53" s="419"/>
      <c r="B53" s="239"/>
      <c r="C53" s="190"/>
      <c r="D53" s="160"/>
      <c r="E53" s="246"/>
    </row>
    <row r="54" spans="1:7" ht="15" customHeight="1">
      <c r="A54" s="420"/>
      <c r="B54" s="192"/>
      <c r="C54" s="193"/>
      <c r="D54" s="191"/>
      <c r="E54" s="194"/>
    </row>
    <row r="55" spans="1:7" ht="15" customHeight="1">
      <c r="A55" s="198" t="s">
        <v>644</v>
      </c>
      <c r="B55" s="195"/>
      <c r="C55" s="195"/>
      <c r="D55" s="196"/>
      <c r="E55" s="168"/>
    </row>
    <row r="56" spans="1:7" ht="15" customHeight="1">
      <c r="A56" s="198"/>
      <c r="B56" s="195"/>
      <c r="C56" s="195"/>
      <c r="D56" s="196"/>
      <c r="E56" s="173">
        <v>4790</v>
      </c>
    </row>
    <row r="57" spans="1:7" ht="15" customHeight="1">
      <c r="A57" s="421" t="s">
        <v>510</v>
      </c>
      <c r="B57" s="197"/>
      <c r="C57" s="197"/>
      <c r="D57" s="197"/>
      <c r="E57" s="169"/>
    </row>
    <row r="58" spans="1:7" ht="15" customHeight="1">
      <c r="A58" s="421" t="s">
        <v>520</v>
      </c>
      <c r="B58" s="197"/>
      <c r="C58" s="197"/>
      <c r="D58" s="197"/>
      <c r="E58" s="170"/>
    </row>
    <row r="59" spans="1:7" ht="15" customHeight="1">
      <c r="A59" s="421" t="s">
        <v>519</v>
      </c>
      <c r="B59" s="197"/>
      <c r="C59" s="197"/>
      <c r="D59" s="171">
        <v>0.7</v>
      </c>
      <c r="E59" s="385">
        <f>E50*D59</f>
        <v>12764.64</v>
      </c>
    </row>
    <row r="60" spans="1:7" ht="15" customHeight="1">
      <c r="A60" s="421"/>
      <c r="B60" s="197"/>
      <c r="C60" s="197"/>
      <c r="D60" s="171"/>
      <c r="E60" s="385"/>
    </row>
    <row r="61" spans="1:7" ht="14.25" customHeight="1">
      <c r="A61" s="421" t="s">
        <v>643</v>
      </c>
      <c r="B61" s="197"/>
      <c r="C61" s="197"/>
      <c r="D61" s="171">
        <v>0.3</v>
      </c>
      <c r="E61" s="385">
        <f>E50*D61</f>
        <v>5470.56</v>
      </c>
    </row>
    <row r="62" spans="1:7" ht="14.25" customHeight="1" thickBot="1">
      <c r="A62" s="421" t="s">
        <v>706</v>
      </c>
      <c r="B62" s="197"/>
      <c r="C62" s="197"/>
      <c r="D62" s="171"/>
      <c r="E62" s="171"/>
    </row>
    <row r="63" spans="1:7" ht="14.25" customHeight="1">
      <c r="A63" s="422" t="s">
        <v>705</v>
      </c>
      <c r="B63" s="321"/>
      <c r="C63" s="321"/>
      <c r="D63" s="321"/>
      <c r="E63" s="322"/>
    </row>
    <row r="64" spans="1:7" ht="14.25" customHeight="1">
      <c r="A64" s="423" t="s">
        <v>707</v>
      </c>
      <c r="B64" s="320"/>
      <c r="C64" s="320"/>
      <c r="D64" s="320"/>
      <c r="E64" s="323"/>
    </row>
    <row r="65" spans="1:5" ht="14.25" customHeight="1">
      <c r="A65" s="423" t="s">
        <v>708</v>
      </c>
      <c r="B65" s="320">
        <v>111642405</v>
      </c>
      <c r="C65" s="320"/>
      <c r="D65" s="320"/>
      <c r="E65" s="323"/>
    </row>
    <row r="66" spans="1:5" ht="14.25" customHeight="1" thickBot="1">
      <c r="A66" s="424" t="s">
        <v>709</v>
      </c>
      <c r="B66" s="324"/>
      <c r="C66" s="469"/>
      <c r="D66" s="469"/>
      <c r="E66" s="470"/>
    </row>
    <row r="67" spans="1:5" ht="14.25" customHeight="1" thickBot="1">
      <c r="A67" s="421"/>
      <c r="B67" s="197"/>
      <c r="C67" s="197"/>
      <c r="D67" s="197"/>
      <c r="E67" s="171"/>
    </row>
    <row r="68" spans="1:5" ht="14.25" customHeight="1">
      <c r="A68" s="422" t="s">
        <v>647</v>
      </c>
      <c r="B68" s="321"/>
      <c r="C68" s="321"/>
      <c r="D68" s="321"/>
      <c r="E68" s="322"/>
    </row>
    <row r="69" spans="1:5" ht="14.25" customHeight="1">
      <c r="A69" s="423" t="s">
        <v>648</v>
      </c>
      <c r="B69" s="320"/>
      <c r="C69" s="320"/>
      <c r="D69" s="320"/>
      <c r="E69" s="323"/>
    </row>
    <row r="70" spans="1:5" ht="14.25" customHeight="1">
      <c r="A70" s="423" t="s">
        <v>646</v>
      </c>
      <c r="B70" s="320"/>
      <c r="C70" s="320"/>
      <c r="D70" s="320"/>
      <c r="E70" s="323"/>
    </row>
    <row r="71" spans="1:5" ht="14.25" customHeight="1" thickBot="1">
      <c r="A71" s="424" t="s">
        <v>649</v>
      </c>
      <c r="B71" s="326">
        <v>174218205</v>
      </c>
      <c r="C71" s="326"/>
      <c r="D71" s="326"/>
      <c r="E71" s="325"/>
    </row>
    <row r="72" spans="1:5" ht="14.25" customHeight="1">
      <c r="A72" s="421"/>
      <c r="B72" s="197"/>
      <c r="C72" s="197"/>
      <c r="D72" s="197"/>
      <c r="E72" s="171"/>
    </row>
    <row r="73" spans="1:5" ht="14.25" customHeight="1">
      <c r="A73" s="421"/>
      <c r="B73" s="197"/>
      <c r="C73" s="197"/>
      <c r="D73" s="197"/>
      <c r="E73" s="171"/>
    </row>
    <row r="74" spans="1:5" ht="18" customHeight="1">
      <c r="A74" s="421" t="s">
        <v>512</v>
      </c>
      <c r="B74" s="200"/>
      <c r="C74" s="199" t="s">
        <v>517</v>
      </c>
      <c r="D74" s="201"/>
      <c r="E74" s="201"/>
    </row>
    <row r="75" spans="1:5">
      <c r="A75" s="200" t="s">
        <v>710</v>
      </c>
      <c r="B75" s="202"/>
      <c r="C75" s="202"/>
      <c r="D75" s="202"/>
      <c r="E75" s="202"/>
    </row>
    <row r="76" spans="1:5">
      <c r="A76" s="200"/>
      <c r="B76" s="202"/>
      <c r="C76" s="202"/>
      <c r="D76" s="202"/>
      <c r="E76" s="202"/>
    </row>
    <row r="77" spans="1:5">
      <c r="A77" s="200" t="s">
        <v>518</v>
      </c>
      <c r="B77" s="202"/>
      <c r="C77" s="202" t="str">
        <f>B8</f>
        <v xml:space="preserve">SR DAVID BLANCO </v>
      </c>
      <c r="D77" s="202"/>
      <c r="E77" s="202"/>
    </row>
    <row r="78" spans="1:5">
      <c r="A78" s="200" t="s">
        <v>513</v>
      </c>
      <c r="B78" s="202"/>
      <c r="C78" s="202"/>
      <c r="D78" s="202"/>
      <c r="E78" s="202"/>
    </row>
    <row r="79" spans="1:5">
      <c r="A79" s="200" t="s">
        <v>515</v>
      </c>
      <c r="B79" s="202"/>
      <c r="C79" s="202" t="s">
        <v>514</v>
      </c>
      <c r="D79" s="202"/>
      <c r="E79" s="202"/>
    </row>
    <row r="80" spans="1:5">
      <c r="A80" s="198"/>
    </row>
    <row r="81" spans="1:5">
      <c r="A81" s="198"/>
    </row>
    <row r="82" spans="1:5">
      <c r="A82" s="203" t="s">
        <v>511</v>
      </c>
      <c r="B82" s="204"/>
      <c r="C82" s="202"/>
      <c r="D82" s="202"/>
      <c r="E82" s="202"/>
    </row>
    <row r="83" spans="1:5" s="329" customFormat="1" ht="18.75">
      <c r="A83" s="425" t="s">
        <v>437</v>
      </c>
      <c r="B83" s="327"/>
      <c r="C83" s="328"/>
      <c r="D83" s="328"/>
      <c r="E83" s="328"/>
    </row>
  </sheetData>
  <sheetProtection formatCells="0" formatColumns="0" formatRows="0" insertColumns="0" insertRows="0" insertHyperlinks="0" deleteColumns="0" deleteRows="0" selectLockedCells="1" sort="0" autoFilter="0" pivotTables="0"/>
  <protectedRanges>
    <protectedRange sqref="D2:E6 C7:D7 A2:A7" name="Datos Generales_1"/>
    <protectedRange sqref="C49:C53" name="Datos Generales_1_1_2"/>
    <protectedRange sqref="A8:A12 C8:E12" name="Datos Generales_1_1_1_1"/>
    <protectedRange sqref="A13:A14 C13:D14" name="Datos Generales_1_1_1_2_1_1"/>
  </protectedRanges>
  <mergeCells count="15">
    <mergeCell ref="C66:E66"/>
    <mergeCell ref="A51:E51"/>
    <mergeCell ref="A50:B50"/>
    <mergeCell ref="A52:B52"/>
    <mergeCell ref="A2:E2"/>
    <mergeCell ref="A3:E3"/>
    <mergeCell ref="A4:E4"/>
    <mergeCell ref="A5:E5"/>
    <mergeCell ref="C6:E6"/>
    <mergeCell ref="C7:D7"/>
    <mergeCell ref="B8:C8"/>
    <mergeCell ref="D11:E11"/>
    <mergeCell ref="B12:E12"/>
    <mergeCell ref="B46:D46"/>
    <mergeCell ref="A45:D45"/>
  </mergeCells>
  <hyperlinks>
    <hyperlink ref="A6" r:id="rId1"/>
    <hyperlink ref="C6" r:id="rId2"/>
  </hyperlinks>
  <pageMargins left="0.7" right="0.7" top="0.75" bottom="0.75" header="0.3" footer="0.3"/>
  <pageSetup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1" r:id="rId6" name="Button 11">
              <controlPr defaultSize="0" print="0" autoFill="0" autoPict="0" macro="[0]!ocultar">
                <anchor>
                  <from>
                    <xdr:col>4</xdr:col>
                    <xdr:colOff>257175</xdr:colOff>
                    <xdr:row>18</xdr:row>
                    <xdr:rowOff>28575</xdr:rowOff>
                  </from>
                  <to>
                    <xdr:col>5</xdr:col>
                    <xdr:colOff>0</xdr:colOff>
                    <xdr:row>19</xdr:row>
                    <xdr:rowOff>171450</xdr:rowOff>
                  </to>
                </anchor>
              </controlPr>
            </control>
          </mc:Choice>
        </mc:AlternateContent>
        <mc:AlternateContent xmlns:mc="http://schemas.openxmlformats.org/markup-compatibility/2006">
          <mc:Choice Requires="x14">
            <control shapeId="10252" r:id="rId7" name="Button 12">
              <controlPr defaultSize="0" print="0" autoFill="0" autoPict="0" macro="[0]!mostrar">
                <anchor>
                  <from>
                    <xdr:col>4</xdr:col>
                    <xdr:colOff>276225</xdr:colOff>
                    <xdr:row>17</xdr:row>
                    <xdr:rowOff>9525</xdr:rowOff>
                  </from>
                  <to>
                    <xdr:col>4</xdr:col>
                    <xdr:colOff>990600</xdr:colOff>
                    <xdr:row>17</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'Catalogo-Datos'!$E$3:$E$13</xm:f>
          </x14:formula1>
          <xm:sqref>C16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1"/>
  </sheetPr>
  <dimension ref="A1:S102"/>
  <sheetViews>
    <sheetView zoomScaleNormal="100" workbookViewId="0">
      <selection activeCell="D1" sqref="D1"/>
    </sheetView>
  </sheetViews>
  <sheetFormatPr baseColWidth="10" defaultColWidth="10.7109375" defaultRowHeight="15.75" outlineLevelRow="1"/>
  <cols>
    <col min="1" max="1" width="15.42578125" style="3" customWidth="1"/>
    <col min="2" max="2" width="12.42578125" style="19" customWidth="1"/>
    <col min="3" max="3" width="14.140625" style="151" customWidth="1"/>
    <col min="4" max="4" width="16" style="19" customWidth="1"/>
    <col min="5" max="5" width="46.28515625" style="19" customWidth="1"/>
    <col min="6" max="6" width="8.42578125" style="19" customWidth="1"/>
    <col min="7" max="7" width="14.7109375" style="19" customWidth="1"/>
    <col min="8" max="8" width="15" style="19" customWidth="1"/>
    <col min="9" max="9" width="14.42578125" style="19" customWidth="1"/>
    <col min="10" max="10" width="18" style="20" customWidth="1"/>
    <col min="11" max="11" width="19" style="235" customWidth="1"/>
    <col min="12" max="12" width="18.28515625" style="19" customWidth="1"/>
    <col min="13" max="13" width="18.7109375" style="19" customWidth="1"/>
    <col min="14" max="14" width="18.42578125" style="19" customWidth="1"/>
    <col min="15" max="15" width="13" style="19" customWidth="1"/>
    <col min="16" max="16384" width="10.7109375" style="19"/>
  </cols>
  <sheetData>
    <row r="1" spans="1:11" ht="71.25" customHeight="1">
      <c r="A1" s="248" t="s">
        <v>451</v>
      </c>
      <c r="B1" s="247"/>
      <c r="C1" s="138"/>
      <c r="D1" s="137"/>
      <c r="E1" s="137"/>
      <c r="F1" s="137"/>
      <c r="G1" s="137"/>
      <c r="H1" s="137"/>
      <c r="I1" s="137"/>
      <c r="J1" s="137"/>
      <c r="K1" s="224"/>
    </row>
    <row r="2" spans="1:11" ht="23.25">
      <c r="A2" s="216" t="s">
        <v>450</v>
      </c>
      <c r="B2" s="216" t="s">
        <v>450</v>
      </c>
      <c r="C2" s="217"/>
      <c r="D2" s="216" t="s">
        <v>450</v>
      </c>
      <c r="E2" s="216" t="s">
        <v>450</v>
      </c>
      <c r="F2" s="9">
        <v>1</v>
      </c>
      <c r="G2" s="117">
        <f t="shared" ref="G2:G7" si="0">I2*21</f>
        <v>0</v>
      </c>
      <c r="H2" s="117">
        <f t="shared" ref="H2:H7" si="1">G2*F2</f>
        <v>0</v>
      </c>
      <c r="I2" s="152"/>
      <c r="J2" s="129" t="s">
        <v>450</v>
      </c>
      <c r="K2" s="226"/>
    </row>
    <row r="3" spans="1:11" ht="51" outlineLevel="1">
      <c r="A3" s="135" t="s">
        <v>450</v>
      </c>
      <c r="B3" s="128" t="s">
        <v>94</v>
      </c>
      <c r="C3" s="139"/>
      <c r="D3" s="6" t="s">
        <v>56</v>
      </c>
      <c r="E3" s="8" t="s">
        <v>101</v>
      </c>
      <c r="F3" s="9">
        <v>1</v>
      </c>
      <c r="G3" s="117">
        <f t="shared" si="0"/>
        <v>0</v>
      </c>
      <c r="H3" s="117">
        <f t="shared" si="1"/>
        <v>0</v>
      </c>
      <c r="I3" s="153">
        <f>J3*1.99</f>
        <v>0</v>
      </c>
      <c r="J3" s="129"/>
      <c r="K3" s="226"/>
    </row>
    <row r="4" spans="1:11" ht="51" outlineLevel="1">
      <c r="A4" s="135" t="s">
        <v>450</v>
      </c>
      <c r="B4" s="128" t="s">
        <v>94</v>
      </c>
      <c r="C4" s="139"/>
      <c r="D4" s="6" t="s">
        <v>56</v>
      </c>
      <c r="E4" s="8" t="s">
        <v>102</v>
      </c>
      <c r="F4" s="9">
        <v>1</v>
      </c>
      <c r="G4" s="117">
        <f t="shared" si="0"/>
        <v>0</v>
      </c>
      <c r="H4" s="117">
        <f t="shared" si="1"/>
        <v>0</v>
      </c>
      <c r="I4" s="153">
        <f>J4*1.99</f>
        <v>0</v>
      </c>
      <c r="J4" s="129"/>
      <c r="K4" s="226"/>
    </row>
    <row r="5" spans="1:11" ht="63.75" outlineLevel="1">
      <c r="A5" s="135" t="s">
        <v>450</v>
      </c>
      <c r="B5" s="128" t="s">
        <v>94</v>
      </c>
      <c r="C5" s="139" t="s">
        <v>56</v>
      </c>
      <c r="D5" s="6" t="s">
        <v>56</v>
      </c>
      <c r="E5" s="8" t="s">
        <v>57</v>
      </c>
      <c r="F5" s="9">
        <v>1</v>
      </c>
      <c r="G5" s="117">
        <f t="shared" si="0"/>
        <v>0</v>
      </c>
      <c r="H5" s="117">
        <f t="shared" si="1"/>
        <v>0</v>
      </c>
      <c r="I5" s="153">
        <f>J5*1.99</f>
        <v>0</v>
      </c>
      <c r="J5" s="129"/>
      <c r="K5" s="226"/>
    </row>
    <row r="6" spans="1:11" ht="63.75" outlineLevel="1">
      <c r="A6" s="135" t="s">
        <v>450</v>
      </c>
      <c r="B6" s="128" t="s">
        <v>94</v>
      </c>
      <c r="C6" s="139" t="s">
        <v>56</v>
      </c>
      <c r="D6" s="6" t="s">
        <v>56</v>
      </c>
      <c r="E6" s="8" t="s">
        <v>58</v>
      </c>
      <c r="F6" s="9">
        <v>1</v>
      </c>
      <c r="G6" s="117">
        <f t="shared" si="0"/>
        <v>3761.1</v>
      </c>
      <c r="H6" s="117">
        <f t="shared" si="1"/>
        <v>3761.1</v>
      </c>
      <c r="I6" s="153">
        <f>J6*1.99</f>
        <v>179.1</v>
      </c>
      <c r="J6" s="129">
        <v>90</v>
      </c>
      <c r="K6" s="226"/>
    </row>
    <row r="7" spans="1:11" ht="76.5" outlineLevel="1">
      <c r="A7" s="135" t="s">
        <v>450</v>
      </c>
      <c r="B7" s="128" t="s">
        <v>94</v>
      </c>
      <c r="C7" s="139" t="s">
        <v>56</v>
      </c>
      <c r="D7" s="6" t="s">
        <v>56</v>
      </c>
      <c r="E7" s="8" t="s">
        <v>59</v>
      </c>
      <c r="F7" s="9">
        <v>1</v>
      </c>
      <c r="G7" s="117">
        <f t="shared" si="0"/>
        <v>4805.8499999999995</v>
      </c>
      <c r="H7" s="117">
        <f t="shared" si="1"/>
        <v>4805.8499999999995</v>
      </c>
      <c r="I7" s="153">
        <f>J7*1.99</f>
        <v>228.85</v>
      </c>
      <c r="J7" s="129">
        <v>115</v>
      </c>
      <c r="K7" s="226"/>
    </row>
    <row r="8" spans="1:11" ht="45.75">
      <c r="A8" s="91" t="s">
        <v>420</v>
      </c>
      <c r="B8" s="76" t="s">
        <v>412</v>
      </c>
      <c r="C8" s="142" t="s">
        <v>412</v>
      </c>
      <c r="D8" s="76" t="s">
        <v>412</v>
      </c>
      <c r="E8" s="76" t="s">
        <v>412</v>
      </c>
      <c r="F8" s="76" t="s">
        <v>412</v>
      </c>
      <c r="G8" s="76" t="s">
        <v>412</v>
      </c>
      <c r="H8" s="76" t="s">
        <v>412</v>
      </c>
      <c r="I8" s="76" t="s">
        <v>412</v>
      </c>
      <c r="J8" s="76" t="s">
        <v>412</v>
      </c>
      <c r="K8" s="227"/>
    </row>
    <row r="9" spans="1:11" ht="54">
      <c r="A9" s="91" t="s">
        <v>420</v>
      </c>
      <c r="B9" s="76" t="s">
        <v>419</v>
      </c>
      <c r="C9" s="140"/>
      <c r="D9" s="91" t="s">
        <v>413</v>
      </c>
      <c r="E9" s="77" t="s">
        <v>408</v>
      </c>
      <c r="F9" s="78">
        <v>1</v>
      </c>
      <c r="G9" s="79">
        <v>1092</v>
      </c>
      <c r="H9" s="79">
        <f>G9*1.16</f>
        <v>1266.7199999999998</v>
      </c>
      <c r="I9" s="80" t="s">
        <v>404</v>
      </c>
      <c r="J9" s="81"/>
      <c r="K9" s="227"/>
    </row>
    <row r="10" spans="1:11" ht="56.25">
      <c r="A10" s="91" t="s">
        <v>420</v>
      </c>
      <c r="B10" s="76" t="s">
        <v>419</v>
      </c>
      <c r="C10" s="140"/>
      <c r="D10" s="92" t="s">
        <v>414</v>
      </c>
      <c r="E10" s="83" t="s">
        <v>409</v>
      </c>
      <c r="F10" s="84">
        <v>1</v>
      </c>
      <c r="G10" s="85">
        <v>2685</v>
      </c>
      <c r="H10" s="85">
        <f>G10*1.16</f>
        <v>3114.6</v>
      </c>
      <c r="I10" s="80" t="s">
        <v>404</v>
      </c>
      <c r="J10" s="81"/>
      <c r="K10" s="227"/>
    </row>
    <row r="11" spans="1:11" ht="56.25">
      <c r="A11" s="91" t="s">
        <v>420</v>
      </c>
      <c r="B11" s="76" t="s">
        <v>419</v>
      </c>
      <c r="C11" s="140">
        <v>1872</v>
      </c>
      <c r="D11" s="92" t="s">
        <v>418</v>
      </c>
      <c r="E11" s="83" t="s">
        <v>407</v>
      </c>
      <c r="F11" s="84">
        <v>1</v>
      </c>
      <c r="G11" s="85">
        <v>3744</v>
      </c>
      <c r="H11" s="85">
        <f>G11*1.16</f>
        <v>4343.04</v>
      </c>
      <c r="I11" s="80" t="s">
        <v>404</v>
      </c>
      <c r="J11" s="81"/>
      <c r="K11" s="227">
        <f>J15*3</f>
        <v>1143</v>
      </c>
    </row>
    <row r="12" spans="1:11" ht="57" thickBot="1">
      <c r="A12" s="91" t="s">
        <v>420</v>
      </c>
      <c r="B12" s="76" t="s">
        <v>419</v>
      </c>
      <c r="C12" s="140">
        <v>1873</v>
      </c>
      <c r="D12" s="92" t="s">
        <v>415</v>
      </c>
      <c r="E12" s="83" t="s">
        <v>410</v>
      </c>
      <c r="F12" s="84">
        <v>1</v>
      </c>
      <c r="G12" s="85">
        <v>3938</v>
      </c>
      <c r="H12" s="85">
        <f>G12*1.16</f>
        <v>4568.08</v>
      </c>
      <c r="I12" s="80" t="s">
        <v>404</v>
      </c>
      <c r="J12" s="81"/>
      <c r="K12" s="227"/>
    </row>
    <row r="13" spans="1:11" ht="57" thickBot="1">
      <c r="A13" s="91" t="s">
        <v>420</v>
      </c>
      <c r="B13" s="76" t="s">
        <v>419</v>
      </c>
      <c r="C13" s="143"/>
      <c r="D13" s="92" t="s">
        <v>417</v>
      </c>
      <c r="E13" s="83" t="s">
        <v>416</v>
      </c>
      <c r="F13" s="88">
        <v>1</v>
      </c>
      <c r="G13" s="89">
        <v>5616</v>
      </c>
      <c r="H13" s="90">
        <f>G13*F13</f>
        <v>5616</v>
      </c>
      <c r="I13" s="80" t="s">
        <v>404</v>
      </c>
      <c r="J13" s="81"/>
      <c r="K13" s="227"/>
    </row>
    <row r="14" spans="1:11" ht="39.75" thickBot="1">
      <c r="A14" s="91" t="s">
        <v>420</v>
      </c>
      <c r="B14" s="76" t="s">
        <v>419</v>
      </c>
      <c r="C14" s="143"/>
      <c r="D14" s="86" t="s">
        <v>367</v>
      </c>
      <c r="E14" s="87" t="s">
        <v>411</v>
      </c>
      <c r="F14" s="88">
        <v>1</v>
      </c>
      <c r="G14" s="89">
        <v>1872</v>
      </c>
      <c r="H14" s="90">
        <f>G14*F14</f>
        <v>1872</v>
      </c>
      <c r="I14" s="80" t="s">
        <v>404</v>
      </c>
      <c r="J14" s="81"/>
      <c r="K14" s="227"/>
    </row>
    <row r="15" spans="1:11" ht="52.5">
      <c r="A15" s="93" t="s">
        <v>420</v>
      </c>
      <c r="B15" s="38" t="s">
        <v>419</v>
      </c>
      <c r="C15" s="144"/>
      <c r="D15" s="45"/>
      <c r="E15" s="94" t="s">
        <v>375</v>
      </c>
      <c r="F15" s="45"/>
      <c r="G15" s="7">
        <f>I15</f>
        <v>514.35</v>
      </c>
      <c r="H15" s="4">
        <f>G15*1.16</f>
        <v>596.64599999999996</v>
      </c>
      <c r="I15" s="4">
        <f>J15*1.35</f>
        <v>514.35</v>
      </c>
      <c r="J15" s="95">
        <v>381</v>
      </c>
      <c r="K15" s="227"/>
    </row>
    <row r="16" spans="1:11" ht="46.5">
      <c r="A16" s="93" t="s">
        <v>420</v>
      </c>
      <c r="B16" s="38" t="s">
        <v>419</v>
      </c>
      <c r="C16" s="144"/>
      <c r="D16" s="93" t="s">
        <v>362</v>
      </c>
      <c r="E16" s="17" t="s">
        <v>333</v>
      </c>
      <c r="F16" s="93">
        <v>1</v>
      </c>
      <c r="G16" s="33">
        <f>I16</f>
        <v>156</v>
      </c>
      <c r="H16" s="33">
        <f>G16*1.16</f>
        <v>180.95999999999998</v>
      </c>
      <c r="I16" s="33">
        <f>J16*1.5</f>
        <v>156</v>
      </c>
      <c r="J16" s="95">
        <v>104</v>
      </c>
      <c r="K16" s="227"/>
    </row>
    <row r="17" spans="1:12" ht="45" thickBot="1">
      <c r="A17" s="93" t="s">
        <v>420</v>
      </c>
      <c r="B17" s="38" t="s">
        <v>419</v>
      </c>
      <c r="C17" s="145"/>
      <c r="D17" s="44"/>
      <c r="E17" s="96" t="s">
        <v>377</v>
      </c>
      <c r="F17" s="44">
        <v>12</v>
      </c>
      <c r="G17" s="44">
        <v>150</v>
      </c>
      <c r="H17" s="7">
        <f t="shared" ref="H17:H23" si="2">G17*F17</f>
        <v>1800</v>
      </c>
      <c r="I17" s="97"/>
      <c r="J17" s="98"/>
      <c r="K17" s="227"/>
    </row>
    <row r="18" spans="1:12" ht="30.75" thickBot="1">
      <c r="A18" s="93" t="s">
        <v>420</v>
      </c>
      <c r="B18" s="38" t="s">
        <v>419</v>
      </c>
      <c r="C18" s="145"/>
      <c r="D18" s="99" t="s">
        <v>367</v>
      </c>
      <c r="E18" s="100" t="s">
        <v>365</v>
      </c>
      <c r="F18" s="101">
        <v>2</v>
      </c>
      <c r="G18" s="102">
        <v>1092</v>
      </c>
      <c r="H18" s="103">
        <f t="shared" si="2"/>
        <v>2184</v>
      </c>
      <c r="I18" s="97"/>
      <c r="J18" s="98"/>
      <c r="K18" s="227"/>
    </row>
    <row r="19" spans="1:12" ht="45" thickBot="1">
      <c r="A19" s="93" t="s">
        <v>420</v>
      </c>
      <c r="B19" s="38" t="s">
        <v>419</v>
      </c>
      <c r="C19" s="145"/>
      <c r="D19" s="104"/>
      <c r="E19" s="105" t="s">
        <v>378</v>
      </c>
      <c r="F19" s="104">
        <v>8</v>
      </c>
      <c r="G19" s="104">
        <v>150</v>
      </c>
      <c r="H19" s="104">
        <f t="shared" si="2"/>
        <v>1200</v>
      </c>
      <c r="I19" s="97"/>
      <c r="J19" s="98"/>
      <c r="K19" s="227"/>
    </row>
    <row r="20" spans="1:12" ht="30.75" thickBot="1">
      <c r="A20" s="93" t="s">
        <v>420</v>
      </c>
      <c r="B20" s="38" t="s">
        <v>419</v>
      </c>
      <c r="C20" s="145"/>
      <c r="D20" s="106" t="s">
        <v>367</v>
      </c>
      <c r="E20" s="107" t="s">
        <v>366</v>
      </c>
      <c r="F20" s="108">
        <v>2</v>
      </c>
      <c r="G20" s="109">
        <v>468</v>
      </c>
      <c r="H20" s="110">
        <f t="shared" si="2"/>
        <v>936</v>
      </c>
      <c r="I20" s="97"/>
      <c r="J20" s="98"/>
      <c r="K20" s="227"/>
    </row>
    <row r="21" spans="1:12" ht="46.5">
      <c r="A21" s="93" t="s">
        <v>420</v>
      </c>
      <c r="B21" s="38" t="s">
        <v>419</v>
      </c>
      <c r="C21" s="145"/>
      <c r="D21" s="104"/>
      <c r="E21" s="105" t="s">
        <v>379</v>
      </c>
      <c r="F21" s="104">
        <v>8</v>
      </c>
      <c r="G21" s="104">
        <v>150</v>
      </c>
      <c r="H21" s="104">
        <f t="shared" si="2"/>
        <v>1200</v>
      </c>
      <c r="I21" s="97"/>
      <c r="J21" s="98"/>
      <c r="K21" s="227"/>
    </row>
    <row r="22" spans="1:12">
      <c r="A22" s="93" t="s">
        <v>420</v>
      </c>
      <c r="B22" s="38" t="s">
        <v>419</v>
      </c>
      <c r="C22" s="144"/>
      <c r="D22" s="45"/>
      <c r="E22" s="111" t="s">
        <v>364</v>
      </c>
      <c r="F22" s="45">
        <v>2</v>
      </c>
      <c r="G22" s="112">
        <v>1092</v>
      </c>
      <c r="H22" s="112">
        <f t="shared" si="2"/>
        <v>2184</v>
      </c>
      <c r="I22" s="4"/>
      <c r="J22" s="98"/>
      <c r="K22" s="227"/>
    </row>
    <row r="23" spans="1:12">
      <c r="A23" s="93" t="s">
        <v>420</v>
      </c>
      <c r="B23" s="38" t="s">
        <v>419</v>
      </c>
      <c r="C23" s="144"/>
      <c r="D23" s="45"/>
      <c r="E23" s="94" t="s">
        <v>363</v>
      </c>
      <c r="F23" s="45">
        <v>2</v>
      </c>
      <c r="G23" s="4">
        <v>468</v>
      </c>
      <c r="H23" s="4">
        <f t="shared" si="2"/>
        <v>936</v>
      </c>
      <c r="I23" s="4"/>
      <c r="J23" s="98"/>
      <c r="K23" s="227"/>
    </row>
    <row r="24" spans="1:12" ht="38.25">
      <c r="A24" s="93" t="s">
        <v>420</v>
      </c>
      <c r="B24" s="38" t="s">
        <v>419</v>
      </c>
      <c r="C24" s="144"/>
      <c r="D24" s="45"/>
      <c r="E24" s="94" t="s">
        <v>374</v>
      </c>
      <c r="F24" s="45"/>
      <c r="G24" s="7">
        <f t="shared" ref="G24:G30" si="3">I24</f>
        <v>461.70000000000005</v>
      </c>
      <c r="H24" s="4">
        <f t="shared" ref="H24:H31" si="4">G24*1.16</f>
        <v>535.572</v>
      </c>
      <c r="I24" s="4">
        <f>J24*1.35</f>
        <v>461.70000000000005</v>
      </c>
      <c r="J24" s="98">
        <v>342</v>
      </c>
      <c r="K24" s="227"/>
    </row>
    <row r="25" spans="1:12" ht="21">
      <c r="A25" s="93" t="s">
        <v>420</v>
      </c>
      <c r="B25" s="38" t="s">
        <v>419</v>
      </c>
      <c r="C25" s="144"/>
      <c r="D25" s="45"/>
      <c r="E25" s="45" t="s">
        <v>368</v>
      </c>
      <c r="F25" s="45"/>
      <c r="G25" s="4">
        <f t="shared" si="3"/>
        <v>363.47499999999997</v>
      </c>
      <c r="H25" s="4">
        <f t="shared" si="4"/>
        <v>421.63099999999991</v>
      </c>
      <c r="I25" s="4">
        <f>J25*1.75</f>
        <v>363.47499999999997</v>
      </c>
      <c r="J25" s="98">
        <v>207.7</v>
      </c>
      <c r="K25" s="227"/>
    </row>
    <row r="26" spans="1:12" ht="21">
      <c r="A26" s="93" t="s">
        <v>420</v>
      </c>
      <c r="B26" s="38" t="s">
        <v>419</v>
      </c>
      <c r="C26" s="144"/>
      <c r="D26" s="45"/>
      <c r="E26" s="45" t="s">
        <v>369</v>
      </c>
      <c r="F26" s="45"/>
      <c r="G26" s="4">
        <f t="shared" si="3"/>
        <v>494.60249999999996</v>
      </c>
      <c r="H26" s="4">
        <f t="shared" si="4"/>
        <v>573.73889999999994</v>
      </c>
      <c r="I26" s="4">
        <f>J26*1.75</f>
        <v>494.60249999999996</v>
      </c>
      <c r="J26" s="98">
        <v>282.63</v>
      </c>
      <c r="K26" s="227"/>
    </row>
    <row r="27" spans="1:12" ht="21">
      <c r="A27" s="93" t="s">
        <v>420</v>
      </c>
      <c r="B27" s="38" t="s">
        <v>419</v>
      </c>
      <c r="C27" s="144"/>
      <c r="D27" s="45"/>
      <c r="E27" s="45" t="s">
        <v>370</v>
      </c>
      <c r="F27" s="45"/>
      <c r="G27" s="4">
        <f t="shared" si="3"/>
        <v>125.8425</v>
      </c>
      <c r="H27" s="4">
        <f t="shared" si="4"/>
        <v>145.97729999999999</v>
      </c>
      <c r="I27" s="4">
        <f>J27*1.75</f>
        <v>125.8425</v>
      </c>
      <c r="J27" s="98">
        <v>71.91</v>
      </c>
      <c r="K27" s="227">
        <f>I31/3.66</f>
        <v>81.053142076502724</v>
      </c>
      <c r="L27" s="11"/>
    </row>
    <row r="28" spans="1:12" ht="92.25">
      <c r="A28" s="93" t="s">
        <v>420</v>
      </c>
      <c r="B28" s="38" t="s">
        <v>419</v>
      </c>
      <c r="C28" s="144"/>
      <c r="D28" s="45"/>
      <c r="E28" s="45" t="s">
        <v>371</v>
      </c>
      <c r="F28" s="45"/>
      <c r="G28" s="4">
        <f t="shared" si="3"/>
        <v>127.5925</v>
      </c>
      <c r="H28" s="4">
        <f t="shared" si="4"/>
        <v>148.00729999999999</v>
      </c>
      <c r="I28" s="4">
        <f>J28*1.75</f>
        <v>127.5925</v>
      </c>
      <c r="J28" s="98">
        <v>72.91</v>
      </c>
      <c r="K28" s="228" t="s">
        <v>438</v>
      </c>
    </row>
    <row r="29" spans="1:12" ht="18.75">
      <c r="A29" s="93" t="s">
        <v>420</v>
      </c>
      <c r="B29" s="38" t="s">
        <v>419</v>
      </c>
      <c r="C29" s="144"/>
      <c r="D29" s="45"/>
      <c r="E29" s="45" t="s">
        <v>372</v>
      </c>
      <c r="F29" s="45"/>
      <c r="G29" s="45">
        <f t="shared" si="3"/>
        <v>193.75</v>
      </c>
      <c r="H29" s="45">
        <f t="shared" si="4"/>
        <v>224.74999999999997</v>
      </c>
      <c r="I29" s="112">
        <f>J29*1.25</f>
        <v>193.75</v>
      </c>
      <c r="J29" s="98">
        <v>155</v>
      </c>
      <c r="K29" s="229"/>
    </row>
    <row r="30" spans="1:12">
      <c r="A30" s="93" t="s">
        <v>420</v>
      </c>
      <c r="B30" s="38" t="s">
        <v>419</v>
      </c>
      <c r="C30" s="144"/>
      <c r="D30" s="45"/>
      <c r="E30" s="45"/>
      <c r="F30" s="45"/>
      <c r="G30" s="45">
        <f t="shared" si="3"/>
        <v>0</v>
      </c>
      <c r="H30" s="45">
        <f t="shared" si="4"/>
        <v>0</v>
      </c>
      <c r="I30" s="112">
        <f>J30*1.25</f>
        <v>0</v>
      </c>
      <c r="J30" s="98"/>
      <c r="K30" s="229"/>
    </row>
    <row r="31" spans="1:12" ht="33.75">
      <c r="A31" s="93" t="s">
        <v>420</v>
      </c>
      <c r="B31" s="38" t="s">
        <v>419</v>
      </c>
      <c r="C31" s="144"/>
      <c r="D31" s="45"/>
      <c r="E31" s="113" t="s">
        <v>373</v>
      </c>
      <c r="F31" s="45">
        <v>1</v>
      </c>
      <c r="G31" s="42">
        <v>81</v>
      </c>
      <c r="H31" s="45">
        <f t="shared" si="4"/>
        <v>93.96</v>
      </c>
      <c r="I31" s="112">
        <f>J31*1.55</f>
        <v>296.65449999999998</v>
      </c>
      <c r="J31" s="98">
        <v>191.39</v>
      </c>
      <c r="K31" s="230">
        <f t="shared" ref="K31:K43" si="5">H35*F35</f>
        <v>763.01853600000004</v>
      </c>
    </row>
    <row r="32" spans="1:12" ht="92.25">
      <c r="A32" s="130"/>
      <c r="B32" s="130"/>
      <c r="C32" s="141" t="s">
        <v>438</v>
      </c>
      <c r="D32" s="130" t="s">
        <v>438</v>
      </c>
      <c r="E32" s="130" t="s">
        <v>438</v>
      </c>
      <c r="F32" s="130" t="s">
        <v>438</v>
      </c>
      <c r="G32" s="130" t="s">
        <v>438</v>
      </c>
      <c r="H32" s="130" t="s">
        <v>438</v>
      </c>
      <c r="I32" s="130" t="s">
        <v>438</v>
      </c>
      <c r="J32" s="130" t="s">
        <v>438</v>
      </c>
      <c r="K32" s="230">
        <f t="shared" si="5"/>
        <v>49.445928000000002</v>
      </c>
    </row>
    <row r="33" spans="1:19" ht="34.5">
      <c r="A33" s="7" t="s">
        <v>555</v>
      </c>
      <c r="B33" s="27" t="s">
        <v>288</v>
      </c>
      <c r="C33" s="131" t="s">
        <v>119</v>
      </c>
      <c r="D33" s="16" t="s">
        <v>306</v>
      </c>
      <c r="E33" s="30" t="s">
        <v>299</v>
      </c>
      <c r="F33" s="9"/>
      <c r="G33" s="10"/>
      <c r="H33" s="10"/>
      <c r="I33" s="18"/>
      <c r="J33" s="5"/>
      <c r="K33" s="230">
        <f t="shared" si="5"/>
        <v>92.105159999999984</v>
      </c>
    </row>
    <row r="34" spans="1:19" ht="25.5">
      <c r="A34" s="7" t="s">
        <v>555</v>
      </c>
      <c r="B34" s="27" t="s">
        <v>288</v>
      </c>
      <c r="C34" s="131" t="s">
        <v>119</v>
      </c>
      <c r="D34" s="16" t="s">
        <v>306</v>
      </c>
      <c r="E34" s="8" t="s">
        <v>92</v>
      </c>
      <c r="F34" s="9">
        <v>1</v>
      </c>
      <c r="G34" s="10">
        <f>I34</f>
        <v>3090</v>
      </c>
      <c r="H34" s="26">
        <f>G34*F34*1.16</f>
        <v>3584.3999999999996</v>
      </c>
      <c r="I34" s="25">
        <f>J34</f>
        <v>3090</v>
      </c>
      <c r="J34" s="43">
        <v>3090</v>
      </c>
      <c r="K34" s="230">
        <f t="shared" si="5"/>
        <v>92.105159999999984</v>
      </c>
    </row>
    <row r="35" spans="1:19" ht="30">
      <c r="A35" s="7" t="s">
        <v>556</v>
      </c>
      <c r="B35" s="27" t="s">
        <v>288</v>
      </c>
      <c r="C35" s="146" t="s">
        <v>289</v>
      </c>
      <c r="D35" s="16" t="s">
        <v>306</v>
      </c>
      <c r="E35" s="12" t="s">
        <v>281</v>
      </c>
      <c r="F35" s="2">
        <v>1</v>
      </c>
      <c r="G35" s="2">
        <f>I35</f>
        <v>657.77460000000008</v>
      </c>
      <c r="H35" s="2">
        <f t="shared" ref="H35:H47" si="6">G35*1.16</f>
        <v>763.01853600000004</v>
      </c>
      <c r="I35" s="18">
        <f t="shared" ref="I35:I47" si="7">J35*1.99</f>
        <v>657.77460000000008</v>
      </c>
      <c r="J35" s="36">
        <v>330.54</v>
      </c>
      <c r="K35" s="230">
        <f t="shared" si="5"/>
        <v>570.08246399999996</v>
      </c>
    </row>
    <row r="36" spans="1:19" ht="30">
      <c r="A36" s="7">
        <v>1</v>
      </c>
      <c r="B36" s="27" t="s">
        <v>288</v>
      </c>
      <c r="C36" s="146" t="s">
        <v>269</v>
      </c>
      <c r="D36" s="16" t="s">
        <v>306</v>
      </c>
      <c r="E36" s="12" t="s">
        <v>270</v>
      </c>
      <c r="F36" s="2">
        <v>1</v>
      </c>
      <c r="G36" s="2">
        <f t="shared" ref="G36:G47" si="8">I36</f>
        <v>42.625800000000005</v>
      </c>
      <c r="H36" s="2">
        <f t="shared" si="6"/>
        <v>49.445928000000002</v>
      </c>
      <c r="I36" s="18">
        <f t="shared" si="7"/>
        <v>42.625800000000005</v>
      </c>
      <c r="J36" s="36">
        <v>21.42</v>
      </c>
      <c r="K36" s="230">
        <f t="shared" si="5"/>
        <v>795.01295999999991</v>
      </c>
    </row>
    <row r="37" spans="1:19" ht="30">
      <c r="A37" s="7">
        <v>1</v>
      </c>
      <c r="B37" s="27" t="s">
        <v>288</v>
      </c>
      <c r="C37" s="146" t="s">
        <v>271</v>
      </c>
      <c r="D37" s="16" t="s">
        <v>306</v>
      </c>
      <c r="E37" s="12" t="s">
        <v>282</v>
      </c>
      <c r="F37" s="2">
        <v>1</v>
      </c>
      <c r="G37" s="2">
        <f t="shared" si="8"/>
        <v>79.400999999999996</v>
      </c>
      <c r="H37" s="2">
        <f t="shared" si="6"/>
        <v>92.105159999999984</v>
      </c>
      <c r="I37" s="18">
        <f t="shared" si="7"/>
        <v>79.400999999999996</v>
      </c>
      <c r="J37" s="36">
        <v>39.9</v>
      </c>
      <c r="K37" s="230">
        <f t="shared" si="5"/>
        <v>60.110735999999996</v>
      </c>
    </row>
    <row r="38" spans="1:19" ht="30">
      <c r="A38" s="7">
        <v>1</v>
      </c>
      <c r="B38" s="27" t="s">
        <v>288</v>
      </c>
      <c r="C38" s="146" t="s">
        <v>272</v>
      </c>
      <c r="D38" s="16" t="s">
        <v>306</v>
      </c>
      <c r="E38" s="12" t="s">
        <v>283</v>
      </c>
      <c r="F38" s="23">
        <v>1</v>
      </c>
      <c r="G38" s="2">
        <f t="shared" si="8"/>
        <v>79.400999999999996</v>
      </c>
      <c r="H38" s="2">
        <f t="shared" si="6"/>
        <v>92.105159999999984</v>
      </c>
      <c r="I38" s="18">
        <f t="shared" si="7"/>
        <v>79.400999999999996</v>
      </c>
      <c r="J38" s="36">
        <v>39.9</v>
      </c>
      <c r="K38" s="230">
        <f t="shared" si="5"/>
        <v>24.930720000000001</v>
      </c>
    </row>
    <row r="39" spans="1:19">
      <c r="A39" s="7">
        <v>2</v>
      </c>
      <c r="B39" s="27" t="s">
        <v>288</v>
      </c>
      <c r="C39" s="146" t="s">
        <v>290</v>
      </c>
      <c r="D39" s="16" t="s">
        <v>306</v>
      </c>
      <c r="E39" s="12" t="s">
        <v>273</v>
      </c>
      <c r="F39" s="2">
        <v>2</v>
      </c>
      <c r="G39" s="2">
        <f t="shared" si="8"/>
        <v>245.7252</v>
      </c>
      <c r="H39" s="2">
        <f t="shared" si="6"/>
        <v>285.04123199999998</v>
      </c>
      <c r="I39" s="18">
        <f t="shared" si="7"/>
        <v>245.7252</v>
      </c>
      <c r="J39" s="36">
        <v>123.48</v>
      </c>
      <c r="K39" s="230">
        <f t="shared" si="5"/>
        <v>25.207727999999996</v>
      </c>
    </row>
    <row r="40" spans="1:19">
      <c r="A40" s="7">
        <v>4</v>
      </c>
      <c r="B40" s="27" t="s">
        <v>288</v>
      </c>
      <c r="C40" s="146" t="s">
        <v>291</v>
      </c>
      <c r="D40" s="16" t="s">
        <v>306</v>
      </c>
      <c r="E40" s="12" t="s">
        <v>274</v>
      </c>
      <c r="F40" s="2">
        <v>4</v>
      </c>
      <c r="G40" s="2">
        <f t="shared" si="8"/>
        <v>171.339</v>
      </c>
      <c r="H40" s="2">
        <f t="shared" si="6"/>
        <v>198.75323999999998</v>
      </c>
      <c r="I40" s="18">
        <f t="shared" si="7"/>
        <v>171.339</v>
      </c>
      <c r="J40" s="36">
        <v>86.1</v>
      </c>
      <c r="K40" s="230">
        <f t="shared" si="5"/>
        <v>78.531768</v>
      </c>
    </row>
    <row r="41" spans="1:19">
      <c r="A41" s="7">
        <v>2</v>
      </c>
      <c r="B41" s="27" t="s">
        <v>288</v>
      </c>
      <c r="C41" s="146" t="s">
        <v>292</v>
      </c>
      <c r="D41" s="16" t="s">
        <v>306</v>
      </c>
      <c r="E41" s="12" t="s">
        <v>275</v>
      </c>
      <c r="F41" s="2">
        <v>2</v>
      </c>
      <c r="G41" s="2">
        <f t="shared" si="8"/>
        <v>25.909800000000001</v>
      </c>
      <c r="H41" s="2">
        <f t="shared" si="6"/>
        <v>30.055367999999998</v>
      </c>
      <c r="I41" s="18">
        <f t="shared" si="7"/>
        <v>25.909800000000001</v>
      </c>
      <c r="J41" s="36">
        <v>13.02</v>
      </c>
      <c r="K41" s="230">
        <f t="shared" si="5"/>
        <v>754.29278399999987</v>
      </c>
    </row>
    <row r="42" spans="1:19" ht="30">
      <c r="A42" s="7">
        <v>2</v>
      </c>
      <c r="B42" s="27" t="s">
        <v>288</v>
      </c>
      <c r="C42" s="146" t="s">
        <v>293</v>
      </c>
      <c r="D42" s="16" t="s">
        <v>306</v>
      </c>
      <c r="E42" s="12" t="s">
        <v>284</v>
      </c>
      <c r="F42" s="2">
        <v>2</v>
      </c>
      <c r="G42" s="2">
        <f t="shared" si="8"/>
        <v>10.746</v>
      </c>
      <c r="H42" s="2">
        <f t="shared" si="6"/>
        <v>12.46536</v>
      </c>
      <c r="I42" s="18">
        <f t="shared" si="7"/>
        <v>10.746</v>
      </c>
      <c r="J42" s="36">
        <v>5.4</v>
      </c>
      <c r="K42" s="230">
        <f t="shared" si="5"/>
        <v>76.592711999999992</v>
      </c>
    </row>
    <row r="43" spans="1:19" ht="30">
      <c r="A43" s="7">
        <v>2</v>
      </c>
      <c r="B43" s="27" t="s">
        <v>288</v>
      </c>
      <c r="C43" s="146" t="s">
        <v>294</v>
      </c>
      <c r="D43" s="16" t="s">
        <v>306</v>
      </c>
      <c r="E43" s="12" t="s">
        <v>276</v>
      </c>
      <c r="F43" s="2">
        <v>2</v>
      </c>
      <c r="G43" s="2">
        <f t="shared" si="8"/>
        <v>10.865399999999999</v>
      </c>
      <c r="H43" s="2">
        <f t="shared" si="6"/>
        <v>12.603863999999998</v>
      </c>
      <c r="I43" s="18">
        <f t="shared" si="7"/>
        <v>10.865399999999999</v>
      </c>
      <c r="J43" s="36">
        <v>5.46</v>
      </c>
      <c r="K43" s="230">
        <f t="shared" si="5"/>
        <v>2769.9414959999999</v>
      </c>
    </row>
    <row r="44" spans="1:19" ht="30">
      <c r="A44" s="7">
        <v>1</v>
      </c>
      <c r="B44" s="27" t="s">
        <v>288</v>
      </c>
      <c r="C44" s="146" t="s">
        <v>295</v>
      </c>
      <c r="D44" s="16" t="s">
        <v>306</v>
      </c>
      <c r="E44" s="12" t="s">
        <v>277</v>
      </c>
      <c r="F44" s="2">
        <v>1</v>
      </c>
      <c r="G44" s="2">
        <f t="shared" si="8"/>
        <v>67.69980000000001</v>
      </c>
      <c r="H44" s="2">
        <f t="shared" si="6"/>
        <v>78.531768</v>
      </c>
      <c r="I44" s="18">
        <f t="shared" si="7"/>
        <v>67.69980000000001</v>
      </c>
      <c r="J44" s="36">
        <v>34.020000000000003</v>
      </c>
      <c r="K44" s="231">
        <f>SUM(K31:K43)</f>
        <v>6151.3781519999993</v>
      </c>
    </row>
    <row r="45" spans="1:19" ht="30">
      <c r="A45" s="7">
        <v>1</v>
      </c>
      <c r="B45" s="27" t="s">
        <v>288</v>
      </c>
      <c r="C45" s="146" t="s">
        <v>296</v>
      </c>
      <c r="D45" s="16" t="s">
        <v>306</v>
      </c>
      <c r="E45" s="12" t="s">
        <v>278</v>
      </c>
      <c r="F45" s="2">
        <v>1</v>
      </c>
      <c r="G45" s="2">
        <f t="shared" si="8"/>
        <v>650.25239999999997</v>
      </c>
      <c r="H45" s="2">
        <f t="shared" si="6"/>
        <v>754.29278399999987</v>
      </c>
      <c r="I45" s="18">
        <f t="shared" si="7"/>
        <v>650.25239999999997</v>
      </c>
      <c r="J45" s="36">
        <v>326.76</v>
      </c>
      <c r="K45" s="232" t="s">
        <v>286</v>
      </c>
      <c r="L45" s="3"/>
      <c r="M45" s="3"/>
      <c r="N45" s="3"/>
      <c r="O45" s="3"/>
      <c r="P45" s="3"/>
      <c r="Q45" s="3"/>
      <c r="R45" s="3"/>
      <c r="S45" s="3"/>
    </row>
    <row r="46" spans="1:19" ht="30">
      <c r="A46" s="7">
        <v>1</v>
      </c>
      <c r="B46" s="27" t="s">
        <v>288</v>
      </c>
      <c r="C46" s="146" t="s">
        <v>297</v>
      </c>
      <c r="D46" s="16" t="s">
        <v>306</v>
      </c>
      <c r="E46" s="12" t="s">
        <v>279</v>
      </c>
      <c r="F46" s="2">
        <v>1</v>
      </c>
      <c r="G46" s="2">
        <f t="shared" si="8"/>
        <v>66.028199999999998</v>
      </c>
      <c r="H46" s="2">
        <f t="shared" si="6"/>
        <v>76.592711999999992</v>
      </c>
      <c r="I46" s="18">
        <f t="shared" si="7"/>
        <v>66.028199999999998</v>
      </c>
      <c r="J46" s="36">
        <v>33.18</v>
      </c>
      <c r="K46" s="233">
        <f>K44</f>
        <v>6151.3781519999993</v>
      </c>
      <c r="L46" s="11"/>
    </row>
    <row r="47" spans="1:19" ht="30">
      <c r="A47" s="7">
        <v>1</v>
      </c>
      <c r="B47" s="27" t="s">
        <v>288</v>
      </c>
      <c r="C47" s="146" t="s">
        <v>298</v>
      </c>
      <c r="D47" s="16" t="s">
        <v>306</v>
      </c>
      <c r="E47" s="12" t="s">
        <v>280</v>
      </c>
      <c r="F47" s="2">
        <v>1</v>
      </c>
      <c r="G47" s="2">
        <f t="shared" si="8"/>
        <v>2387.8806</v>
      </c>
      <c r="H47" s="2">
        <f t="shared" si="6"/>
        <v>2769.9414959999999</v>
      </c>
      <c r="I47" s="18">
        <f t="shared" si="7"/>
        <v>2387.8806</v>
      </c>
      <c r="J47" s="36">
        <v>1199.94</v>
      </c>
      <c r="K47" s="230"/>
    </row>
    <row r="48" spans="1:19" ht="34.5">
      <c r="A48" s="7"/>
      <c r="B48" s="27" t="s">
        <v>288</v>
      </c>
      <c r="C48" s="131" t="s">
        <v>287</v>
      </c>
      <c r="D48" s="16" t="s">
        <v>307</v>
      </c>
      <c r="E48" s="34" t="s">
        <v>300</v>
      </c>
      <c r="F48" s="35"/>
      <c r="G48" s="35"/>
      <c r="H48" s="35"/>
      <c r="I48" s="35"/>
      <c r="J48" s="35"/>
      <c r="K48" s="231" t="e">
        <f>#REF!*#REF!</f>
        <v>#REF!</v>
      </c>
    </row>
    <row r="49" spans="1:12">
      <c r="A49" s="7"/>
      <c r="B49" s="27" t="s">
        <v>288</v>
      </c>
      <c r="C49" s="146"/>
      <c r="D49" s="2"/>
      <c r="E49" s="12"/>
      <c r="F49" s="2"/>
      <c r="G49" s="2"/>
      <c r="H49" s="2"/>
      <c r="I49" s="13"/>
      <c r="J49" s="31" t="s">
        <v>285</v>
      </c>
      <c r="K49" s="231" t="e">
        <f>#REF!*#REF!</f>
        <v>#REF!</v>
      </c>
    </row>
    <row r="50" spans="1:12">
      <c r="A50" s="7"/>
      <c r="B50" s="27" t="s">
        <v>288</v>
      </c>
      <c r="C50" s="146"/>
      <c r="D50" s="2"/>
      <c r="E50" s="2"/>
      <c r="F50" s="2"/>
      <c r="G50" s="23"/>
      <c r="H50" s="23"/>
      <c r="I50" s="13"/>
      <c r="J50" s="32">
        <v>4956</v>
      </c>
      <c r="K50" s="231" t="e">
        <f>#REF!*#REF!</f>
        <v>#REF!</v>
      </c>
    </row>
    <row r="51" spans="1:12" ht="45.75">
      <c r="A51" s="45"/>
      <c r="B51" s="38" t="s">
        <v>412</v>
      </c>
      <c r="C51" s="147" t="s">
        <v>412</v>
      </c>
      <c r="D51" s="38" t="s">
        <v>412</v>
      </c>
      <c r="E51" s="38" t="s">
        <v>412</v>
      </c>
      <c r="F51" s="38" t="s">
        <v>412</v>
      </c>
      <c r="G51" s="38" t="s">
        <v>412</v>
      </c>
      <c r="H51" s="38" t="s">
        <v>412</v>
      </c>
      <c r="I51" s="38" t="s">
        <v>412</v>
      </c>
      <c r="J51" s="38" t="s">
        <v>412</v>
      </c>
      <c r="K51" s="227"/>
      <c r="L51" s="1"/>
    </row>
    <row r="52" spans="1:12" ht="52.5">
      <c r="A52" s="45"/>
      <c r="B52" s="38"/>
      <c r="C52" s="148"/>
      <c r="D52" s="37"/>
      <c r="E52" s="12" t="s">
        <v>375</v>
      </c>
      <c r="F52" s="37"/>
      <c r="G52" s="2">
        <f>I52</f>
        <v>514.35</v>
      </c>
      <c r="H52" s="13">
        <f t="shared" ref="H52:H57" si="9">G52*1.16</f>
        <v>596.64599999999996</v>
      </c>
      <c r="I52" s="18">
        <f>J52*1.35</f>
        <v>514.35</v>
      </c>
      <c r="J52" s="41">
        <v>381</v>
      </c>
      <c r="K52" s="227"/>
    </row>
    <row r="53" spans="1:12" ht="46.5">
      <c r="A53" s="46"/>
      <c r="B53" s="47"/>
      <c r="C53" s="149"/>
      <c r="D53" s="46" t="s">
        <v>362</v>
      </c>
      <c r="E53" s="48" t="s">
        <v>333</v>
      </c>
      <c r="F53" s="46">
        <v>1</v>
      </c>
      <c r="G53" s="49">
        <f>I53</f>
        <v>156</v>
      </c>
      <c r="H53" s="49">
        <f t="shared" si="9"/>
        <v>180.95999999999998</v>
      </c>
      <c r="I53" s="49">
        <f>J53*1.5</f>
        <v>156</v>
      </c>
      <c r="J53" s="41">
        <v>104</v>
      </c>
      <c r="K53" s="227"/>
    </row>
    <row r="54" spans="1:12" ht="54">
      <c r="A54" s="75"/>
      <c r="B54" s="76" t="s">
        <v>361</v>
      </c>
      <c r="C54" s="140"/>
      <c r="D54" s="75" t="s">
        <v>405</v>
      </c>
      <c r="E54" s="77" t="s">
        <v>408</v>
      </c>
      <c r="F54" s="78">
        <v>1</v>
      </c>
      <c r="G54" s="79">
        <v>1092</v>
      </c>
      <c r="H54" s="79">
        <f t="shared" si="9"/>
        <v>1266.7199999999998</v>
      </c>
      <c r="I54" s="80" t="s">
        <v>404</v>
      </c>
      <c r="J54" s="81"/>
      <c r="K54" s="227"/>
    </row>
    <row r="55" spans="1:12" ht="56.25">
      <c r="A55" s="75"/>
      <c r="B55" s="76" t="s">
        <v>361</v>
      </c>
      <c r="C55" s="140"/>
      <c r="D55" s="82" t="s">
        <v>406</v>
      </c>
      <c r="E55" s="83" t="s">
        <v>409</v>
      </c>
      <c r="F55" s="84">
        <v>1</v>
      </c>
      <c r="G55" s="85">
        <v>2685</v>
      </c>
      <c r="H55" s="85">
        <f t="shared" si="9"/>
        <v>3114.6</v>
      </c>
      <c r="I55" s="80" t="s">
        <v>404</v>
      </c>
      <c r="J55" s="81"/>
      <c r="K55" s="227"/>
    </row>
    <row r="56" spans="1:12" ht="56.25">
      <c r="A56" s="75"/>
      <c r="B56" s="76" t="s">
        <v>361</v>
      </c>
      <c r="C56" s="140">
        <v>1872</v>
      </c>
      <c r="D56" s="82" t="s">
        <v>406</v>
      </c>
      <c r="E56" s="83" t="s">
        <v>407</v>
      </c>
      <c r="F56" s="84">
        <v>1</v>
      </c>
      <c r="G56" s="85">
        <v>3744</v>
      </c>
      <c r="H56" s="85">
        <f t="shared" si="9"/>
        <v>4343.04</v>
      </c>
      <c r="I56" s="80" t="s">
        <v>404</v>
      </c>
      <c r="J56" s="81"/>
      <c r="K56" s="227"/>
    </row>
    <row r="57" spans="1:12" ht="57" thickBot="1">
      <c r="A57" s="75"/>
      <c r="B57" s="76" t="s">
        <v>361</v>
      </c>
      <c r="C57" s="140">
        <v>1873</v>
      </c>
      <c r="D57" s="82" t="s">
        <v>406</v>
      </c>
      <c r="E57" s="83" t="s">
        <v>410</v>
      </c>
      <c r="F57" s="84">
        <v>1</v>
      </c>
      <c r="G57" s="85">
        <v>3938</v>
      </c>
      <c r="H57" s="85">
        <f t="shared" si="9"/>
        <v>4568.08</v>
      </c>
      <c r="I57" s="80" t="s">
        <v>404</v>
      </c>
      <c r="J57" s="81"/>
      <c r="K57" s="227"/>
    </row>
    <row r="58" spans="1:12" ht="39.75" thickBot="1">
      <c r="A58" s="75"/>
      <c r="B58" s="76">
        <v>1872</v>
      </c>
      <c r="C58" s="143"/>
      <c r="D58" s="86" t="s">
        <v>367</v>
      </c>
      <c r="E58" s="87" t="s">
        <v>376</v>
      </c>
      <c r="F58" s="88">
        <v>1</v>
      </c>
      <c r="G58" s="89">
        <v>5616</v>
      </c>
      <c r="H58" s="90">
        <f t="shared" ref="H58:H66" si="10">G58*F58</f>
        <v>5616</v>
      </c>
      <c r="I58" s="80" t="s">
        <v>404</v>
      </c>
      <c r="J58" s="81"/>
      <c r="K58" s="227"/>
    </row>
    <row r="59" spans="1:12" ht="39.75" thickBot="1">
      <c r="A59" s="75"/>
      <c r="B59" s="76">
        <v>1873</v>
      </c>
      <c r="C59" s="143"/>
      <c r="D59" s="86" t="s">
        <v>367</v>
      </c>
      <c r="E59" s="87" t="s">
        <v>411</v>
      </c>
      <c r="F59" s="88">
        <v>1</v>
      </c>
      <c r="G59" s="89">
        <v>1872</v>
      </c>
      <c r="H59" s="90">
        <f t="shared" si="10"/>
        <v>1872</v>
      </c>
      <c r="I59" s="80" t="s">
        <v>404</v>
      </c>
      <c r="J59" s="81"/>
      <c r="K59" s="227"/>
    </row>
    <row r="60" spans="1:12" ht="45" thickBot="1">
      <c r="A60" s="45"/>
      <c r="B60" s="38"/>
      <c r="C60" s="150"/>
      <c r="D60" s="28"/>
      <c r="E60" s="15" t="s">
        <v>377</v>
      </c>
      <c r="F60" s="28">
        <v>12</v>
      </c>
      <c r="G60" s="58">
        <v>150</v>
      </c>
      <c r="H60" s="23">
        <f t="shared" si="10"/>
        <v>1800</v>
      </c>
      <c r="I60" s="50"/>
      <c r="J60" s="41"/>
      <c r="K60" s="227"/>
    </row>
    <row r="61" spans="1:12" ht="30.75" thickBot="1">
      <c r="A61" s="45"/>
      <c r="B61" s="38"/>
      <c r="C61" s="150"/>
      <c r="D61" s="62" t="s">
        <v>367</v>
      </c>
      <c r="E61" s="59" t="s">
        <v>365</v>
      </c>
      <c r="F61" s="60">
        <v>2</v>
      </c>
      <c r="G61" s="61">
        <v>1092</v>
      </c>
      <c r="H61" s="57">
        <f t="shared" si="10"/>
        <v>2184</v>
      </c>
      <c r="I61" s="50"/>
      <c r="J61" s="41"/>
      <c r="K61" s="227"/>
    </row>
    <row r="62" spans="1:12" ht="45" thickBot="1">
      <c r="A62" s="45"/>
      <c r="B62" s="38"/>
      <c r="C62" s="150"/>
      <c r="D62" s="24"/>
      <c r="E62" s="53" t="s">
        <v>378</v>
      </c>
      <c r="F62" s="24">
        <v>8</v>
      </c>
      <c r="G62" s="21">
        <v>150</v>
      </c>
      <c r="H62" s="21">
        <f t="shared" si="10"/>
        <v>1200</v>
      </c>
      <c r="I62" s="50"/>
      <c r="J62" s="41"/>
      <c r="K62" s="227"/>
    </row>
    <row r="63" spans="1:12" ht="30.75" thickBot="1">
      <c r="A63" s="45"/>
      <c r="B63" s="38"/>
      <c r="C63" s="150"/>
      <c r="D63" s="63" t="s">
        <v>367</v>
      </c>
      <c r="E63" s="54" t="s">
        <v>366</v>
      </c>
      <c r="F63" s="55">
        <v>2</v>
      </c>
      <c r="G63" s="56">
        <v>468</v>
      </c>
      <c r="H63" s="52">
        <f t="shared" si="10"/>
        <v>936</v>
      </c>
      <c r="I63" s="50"/>
      <c r="J63" s="41"/>
      <c r="K63" s="227"/>
    </row>
    <row r="64" spans="1:12" ht="46.5">
      <c r="A64" s="45"/>
      <c r="B64" s="38"/>
      <c r="C64" s="150"/>
      <c r="D64" s="24"/>
      <c r="E64" s="53" t="s">
        <v>379</v>
      </c>
      <c r="F64" s="24">
        <v>8</v>
      </c>
      <c r="G64" s="21">
        <v>150</v>
      </c>
      <c r="H64" s="21">
        <f t="shared" si="10"/>
        <v>1200</v>
      </c>
      <c r="I64" s="50"/>
      <c r="J64" s="41"/>
      <c r="K64" s="227"/>
    </row>
    <row r="65" spans="1:12">
      <c r="A65" s="45"/>
      <c r="B65" s="38"/>
      <c r="C65" s="148"/>
      <c r="D65" s="37"/>
      <c r="E65" s="51" t="s">
        <v>364</v>
      </c>
      <c r="F65" s="37">
        <v>2</v>
      </c>
      <c r="G65" s="40">
        <v>1092</v>
      </c>
      <c r="H65" s="40">
        <f t="shared" si="10"/>
        <v>2184</v>
      </c>
      <c r="I65" s="18"/>
      <c r="J65" s="41"/>
      <c r="K65" s="227"/>
    </row>
    <row r="66" spans="1:12">
      <c r="A66" s="45"/>
      <c r="B66" s="38"/>
      <c r="C66" s="148"/>
      <c r="D66" s="37"/>
      <c r="E66" s="12" t="s">
        <v>363</v>
      </c>
      <c r="F66" s="37">
        <v>2</v>
      </c>
      <c r="G66" s="13">
        <v>468</v>
      </c>
      <c r="H66" s="13">
        <f t="shared" si="10"/>
        <v>936</v>
      </c>
      <c r="I66" s="18"/>
      <c r="J66" s="41"/>
      <c r="K66" s="227"/>
    </row>
    <row r="67" spans="1:12" ht="38.25">
      <c r="A67" s="45"/>
      <c r="B67" s="38"/>
      <c r="C67" s="148"/>
      <c r="D67" s="37"/>
      <c r="E67" s="12" t="s">
        <v>374</v>
      </c>
      <c r="F67" s="37"/>
      <c r="G67" s="2">
        <f t="shared" ref="G67:G73" si="11">I67</f>
        <v>461.70000000000005</v>
      </c>
      <c r="H67" s="13">
        <f t="shared" ref="H67:H74" si="12">G67*1.16</f>
        <v>535.572</v>
      </c>
      <c r="I67" s="18">
        <f>J67*1.35</f>
        <v>461.70000000000005</v>
      </c>
      <c r="J67" s="41">
        <v>342</v>
      </c>
      <c r="K67" s="227"/>
    </row>
    <row r="68" spans="1:12" ht="21">
      <c r="A68" s="45"/>
      <c r="B68" s="38"/>
      <c r="C68" s="148"/>
      <c r="D68" s="37"/>
      <c r="E68" s="37" t="s">
        <v>368</v>
      </c>
      <c r="F68" s="37"/>
      <c r="G68" s="13">
        <f t="shared" si="11"/>
        <v>363.47499999999997</v>
      </c>
      <c r="H68" s="13">
        <f t="shared" si="12"/>
        <v>421.63099999999991</v>
      </c>
      <c r="I68" s="18">
        <f>J68*1.75</f>
        <v>363.47499999999997</v>
      </c>
      <c r="J68" s="41">
        <v>207.7</v>
      </c>
      <c r="K68" s="227"/>
    </row>
    <row r="69" spans="1:12" ht="21">
      <c r="A69" s="45"/>
      <c r="B69" s="38"/>
      <c r="C69" s="148"/>
      <c r="D69" s="37"/>
      <c r="E69" s="37" t="s">
        <v>369</v>
      </c>
      <c r="F69" s="37"/>
      <c r="G69" s="13">
        <f t="shared" si="11"/>
        <v>494.60249999999996</v>
      </c>
      <c r="H69" s="13">
        <f t="shared" si="12"/>
        <v>573.73889999999994</v>
      </c>
      <c r="I69" s="18">
        <f>J69*1.75</f>
        <v>494.60249999999996</v>
      </c>
      <c r="J69" s="41">
        <v>282.63</v>
      </c>
      <c r="K69" s="227"/>
    </row>
    <row r="70" spans="1:12" ht="21">
      <c r="A70" s="45"/>
      <c r="B70" s="38"/>
      <c r="C70" s="148"/>
      <c r="D70" s="37"/>
      <c r="E70" s="37" t="s">
        <v>370</v>
      </c>
      <c r="F70" s="37"/>
      <c r="G70" s="13">
        <f t="shared" si="11"/>
        <v>125.8425</v>
      </c>
      <c r="H70" s="13">
        <f t="shared" si="12"/>
        <v>145.97729999999999</v>
      </c>
      <c r="I70" s="18">
        <f>J70*1.75</f>
        <v>125.8425</v>
      </c>
      <c r="J70" s="41">
        <v>71.91</v>
      </c>
      <c r="K70" s="227">
        <f>I74/3.66</f>
        <v>81.053142076502724</v>
      </c>
    </row>
    <row r="71" spans="1:12" ht="21">
      <c r="A71" s="45"/>
      <c r="B71" s="38"/>
      <c r="C71" s="148"/>
      <c r="D71" s="37"/>
      <c r="E71" s="37" t="s">
        <v>371</v>
      </c>
      <c r="F71" s="37"/>
      <c r="G71" s="13">
        <f t="shared" si="11"/>
        <v>127.5925</v>
      </c>
      <c r="H71" s="13">
        <f t="shared" si="12"/>
        <v>148.00729999999999</v>
      </c>
      <c r="I71" s="18">
        <f>J71*1.75</f>
        <v>127.5925</v>
      </c>
      <c r="J71" s="41">
        <v>72.91</v>
      </c>
      <c r="K71" s="234"/>
    </row>
    <row r="72" spans="1:12" ht="18.75">
      <c r="A72" s="45"/>
      <c r="B72" s="38"/>
      <c r="C72" s="148"/>
      <c r="D72" s="37"/>
      <c r="E72" s="37" t="s">
        <v>372</v>
      </c>
      <c r="F72" s="37"/>
      <c r="G72" s="39">
        <f t="shared" si="11"/>
        <v>193.75</v>
      </c>
      <c r="H72" s="39">
        <f t="shared" si="12"/>
        <v>224.74999999999997</v>
      </c>
      <c r="I72" s="40">
        <f>J72*1.25</f>
        <v>193.75</v>
      </c>
      <c r="J72" s="41">
        <v>155</v>
      </c>
      <c r="K72" s="234"/>
    </row>
    <row r="73" spans="1:12">
      <c r="A73" s="45"/>
      <c r="B73" s="38"/>
      <c r="C73" s="148"/>
      <c r="D73" s="37"/>
      <c r="E73" s="37"/>
      <c r="F73" s="37"/>
      <c r="G73" s="39">
        <f t="shared" si="11"/>
        <v>0</v>
      </c>
      <c r="H73" s="39">
        <f t="shared" si="12"/>
        <v>0</v>
      </c>
      <c r="I73" s="40">
        <f>J73*1.25</f>
        <v>0</v>
      </c>
      <c r="J73" s="41"/>
      <c r="K73" s="234"/>
    </row>
    <row r="74" spans="1:12" ht="33.75">
      <c r="A74" s="45"/>
      <c r="B74" s="38"/>
      <c r="C74" s="148"/>
      <c r="D74" s="37"/>
      <c r="E74" s="29" t="s">
        <v>373</v>
      </c>
      <c r="F74" s="37">
        <v>1</v>
      </c>
      <c r="G74" s="42">
        <v>81</v>
      </c>
      <c r="H74" s="39">
        <f t="shared" si="12"/>
        <v>93.96</v>
      </c>
      <c r="I74" s="40">
        <f>J74*1.55</f>
        <v>296.65449999999998</v>
      </c>
      <c r="J74" s="41">
        <v>191.39</v>
      </c>
      <c r="K74" s="234"/>
    </row>
    <row r="75" spans="1:12">
      <c r="A75" s="45"/>
      <c r="B75" s="45"/>
      <c r="C75" s="144"/>
      <c r="D75" s="45"/>
      <c r="E75" s="45"/>
      <c r="F75" s="45"/>
      <c r="G75" s="45"/>
      <c r="H75" s="45"/>
      <c r="I75" s="45"/>
      <c r="J75" s="45"/>
      <c r="K75" s="234"/>
    </row>
    <row r="76" spans="1:12">
      <c r="A76" s="45"/>
      <c r="B76" s="45"/>
      <c r="C76" s="144"/>
      <c r="D76" s="66"/>
      <c r="E76" s="67"/>
      <c r="F76" s="68"/>
      <c r="G76" s="69"/>
      <c r="H76" s="70"/>
      <c r="I76" s="45"/>
      <c r="J76" s="45"/>
      <c r="K76" s="227"/>
      <c r="L76" s="1"/>
    </row>
    <row r="77" spans="1:12">
      <c r="A77" s="45"/>
      <c r="B77" s="45"/>
      <c r="C77" s="144"/>
      <c r="D77" s="71"/>
      <c r="E77" s="71"/>
      <c r="F77" s="72"/>
      <c r="G77" s="69"/>
      <c r="H77" s="70"/>
      <c r="I77" s="45"/>
      <c r="J77" s="45"/>
      <c r="K77" s="227"/>
      <c r="L77" s="1"/>
    </row>
    <row r="78" spans="1:12">
      <c r="A78" s="45"/>
      <c r="B78" s="45"/>
      <c r="C78" s="144"/>
      <c r="D78" s="71"/>
      <c r="E78" s="71"/>
      <c r="F78" s="72"/>
      <c r="G78" s="73"/>
      <c r="H78" s="74"/>
      <c r="I78" s="45"/>
      <c r="J78" s="45"/>
      <c r="K78" s="227"/>
      <c r="L78" s="1"/>
    </row>
    <row r="79" spans="1:12">
      <c r="K79" s="227"/>
      <c r="L79" s="1"/>
    </row>
    <row r="80" spans="1:12" ht="52.5">
      <c r="A80" s="45"/>
      <c r="B80" s="38"/>
      <c r="C80" s="148"/>
      <c r="D80" s="37"/>
      <c r="E80" s="12" t="s">
        <v>375</v>
      </c>
      <c r="F80" s="37"/>
      <c r="G80" s="2">
        <f>I80</f>
        <v>514.35</v>
      </c>
      <c r="H80" s="13">
        <f t="shared" ref="H80:H85" si="13">G80*1.16</f>
        <v>596.64599999999996</v>
      </c>
      <c r="I80" s="18">
        <f>J80*1.35</f>
        <v>514.35</v>
      </c>
      <c r="J80" s="41">
        <v>381</v>
      </c>
      <c r="K80" s="227"/>
    </row>
    <row r="81" spans="1:11" ht="46.5">
      <c r="A81" s="46"/>
      <c r="B81" s="47"/>
      <c r="C81" s="149"/>
      <c r="D81" s="46" t="s">
        <v>362</v>
      </c>
      <c r="E81" s="48" t="s">
        <v>333</v>
      </c>
      <c r="F81" s="46">
        <v>1</v>
      </c>
      <c r="G81" s="49">
        <f>I81</f>
        <v>156</v>
      </c>
      <c r="H81" s="49">
        <f t="shared" si="13"/>
        <v>180.95999999999998</v>
      </c>
      <c r="I81" s="49">
        <f>J81*1.5</f>
        <v>156</v>
      </c>
      <c r="J81" s="41">
        <v>104</v>
      </c>
      <c r="K81" s="227"/>
    </row>
    <row r="82" spans="1:11" ht="54">
      <c r="A82" s="75"/>
      <c r="B82" s="76" t="s">
        <v>361</v>
      </c>
      <c r="C82" s="140"/>
      <c r="D82" s="75" t="s">
        <v>405</v>
      </c>
      <c r="E82" s="77" t="s">
        <v>408</v>
      </c>
      <c r="F82" s="78">
        <v>1</v>
      </c>
      <c r="G82" s="79">
        <v>1092</v>
      </c>
      <c r="H82" s="79">
        <f t="shared" si="13"/>
        <v>1266.7199999999998</v>
      </c>
      <c r="I82" s="80" t="s">
        <v>404</v>
      </c>
      <c r="J82" s="81"/>
      <c r="K82" s="227"/>
    </row>
    <row r="83" spans="1:11" ht="56.25">
      <c r="A83" s="75"/>
      <c r="B83" s="76" t="s">
        <v>361</v>
      </c>
      <c r="C83" s="140"/>
      <c r="D83" s="82" t="s">
        <v>406</v>
      </c>
      <c r="E83" s="83" t="s">
        <v>409</v>
      </c>
      <c r="F83" s="84">
        <v>1</v>
      </c>
      <c r="G83" s="85">
        <v>2685</v>
      </c>
      <c r="H83" s="85">
        <f t="shared" si="13"/>
        <v>3114.6</v>
      </c>
      <c r="I83" s="80" t="s">
        <v>404</v>
      </c>
      <c r="J83" s="81"/>
      <c r="K83" s="227"/>
    </row>
    <row r="84" spans="1:11" ht="56.25">
      <c r="A84" s="75"/>
      <c r="B84" s="76" t="s">
        <v>361</v>
      </c>
      <c r="C84" s="140">
        <v>1872</v>
      </c>
      <c r="D84" s="82" t="s">
        <v>406</v>
      </c>
      <c r="E84" s="83" t="s">
        <v>407</v>
      </c>
      <c r="F84" s="84">
        <v>1</v>
      </c>
      <c r="G84" s="85">
        <v>3744</v>
      </c>
      <c r="H84" s="85">
        <f t="shared" si="13"/>
        <v>4343.04</v>
      </c>
      <c r="I84" s="80" t="s">
        <v>404</v>
      </c>
      <c r="J84" s="81"/>
      <c r="K84" s="227"/>
    </row>
    <row r="85" spans="1:11" ht="57" thickBot="1">
      <c r="A85" s="75"/>
      <c r="B85" s="76" t="s">
        <v>361</v>
      </c>
      <c r="C85" s="140">
        <v>1873</v>
      </c>
      <c r="D85" s="82" t="s">
        <v>406</v>
      </c>
      <c r="E85" s="83" t="s">
        <v>410</v>
      </c>
      <c r="F85" s="84">
        <v>1</v>
      </c>
      <c r="G85" s="85">
        <v>3938</v>
      </c>
      <c r="H85" s="85">
        <f t="shared" si="13"/>
        <v>4568.08</v>
      </c>
      <c r="I85" s="80" t="s">
        <v>404</v>
      </c>
      <c r="J85" s="81"/>
      <c r="K85" s="227"/>
    </row>
    <row r="86" spans="1:11" ht="39.75" thickBot="1">
      <c r="A86" s="75"/>
      <c r="B86" s="76">
        <v>1872</v>
      </c>
      <c r="C86" s="143"/>
      <c r="D86" s="86" t="s">
        <v>367</v>
      </c>
      <c r="E86" s="87" t="s">
        <v>376</v>
      </c>
      <c r="F86" s="88">
        <v>1</v>
      </c>
      <c r="G86" s="89">
        <v>5616</v>
      </c>
      <c r="H86" s="90">
        <f t="shared" ref="H86:H94" si="14">G86*F86</f>
        <v>5616</v>
      </c>
      <c r="I86" s="80" t="s">
        <v>404</v>
      </c>
      <c r="J86" s="81"/>
      <c r="K86" s="227"/>
    </row>
    <row r="87" spans="1:11" ht="39.75" thickBot="1">
      <c r="A87" s="75"/>
      <c r="B87" s="76">
        <v>1873</v>
      </c>
      <c r="C87" s="143"/>
      <c r="D87" s="86" t="s">
        <v>367</v>
      </c>
      <c r="E87" s="87" t="s">
        <v>411</v>
      </c>
      <c r="F87" s="88">
        <v>1</v>
      </c>
      <c r="G87" s="89">
        <v>1872</v>
      </c>
      <c r="H87" s="90">
        <f t="shared" si="14"/>
        <v>1872</v>
      </c>
      <c r="I87" s="80" t="s">
        <v>404</v>
      </c>
      <c r="J87" s="81"/>
      <c r="K87" s="227"/>
    </row>
    <row r="88" spans="1:11" ht="45" thickBot="1">
      <c r="A88" s="45"/>
      <c r="B88" s="38"/>
      <c r="C88" s="150"/>
      <c r="D88" s="28"/>
      <c r="E88" s="15" t="s">
        <v>377</v>
      </c>
      <c r="F88" s="28">
        <v>12</v>
      </c>
      <c r="G88" s="58">
        <v>150</v>
      </c>
      <c r="H88" s="23">
        <f t="shared" si="14"/>
        <v>1800</v>
      </c>
      <c r="I88" s="50"/>
      <c r="J88" s="41"/>
      <c r="K88" s="227"/>
    </row>
    <row r="89" spans="1:11" ht="30.75" thickBot="1">
      <c r="A89" s="45"/>
      <c r="B89" s="38"/>
      <c r="C89" s="150"/>
      <c r="D89" s="62" t="s">
        <v>367</v>
      </c>
      <c r="E89" s="59" t="s">
        <v>365</v>
      </c>
      <c r="F89" s="60">
        <v>2</v>
      </c>
      <c r="G89" s="61">
        <v>1092</v>
      </c>
      <c r="H89" s="57">
        <f t="shared" si="14"/>
        <v>2184</v>
      </c>
      <c r="I89" s="50"/>
      <c r="J89" s="41"/>
      <c r="K89" s="227"/>
    </row>
    <row r="90" spans="1:11" ht="45" thickBot="1">
      <c r="A90" s="45"/>
      <c r="B90" s="38"/>
      <c r="C90" s="150"/>
      <c r="D90" s="24"/>
      <c r="E90" s="53" t="s">
        <v>378</v>
      </c>
      <c r="F90" s="24">
        <v>8</v>
      </c>
      <c r="G90" s="21">
        <v>150</v>
      </c>
      <c r="H90" s="21">
        <f t="shared" si="14"/>
        <v>1200</v>
      </c>
      <c r="I90" s="50"/>
      <c r="J90" s="41"/>
      <c r="K90" s="227"/>
    </row>
    <row r="91" spans="1:11" ht="30.75" thickBot="1">
      <c r="A91" s="45"/>
      <c r="B91" s="38"/>
      <c r="C91" s="150"/>
      <c r="D91" s="63" t="s">
        <v>367</v>
      </c>
      <c r="E91" s="54" t="s">
        <v>366</v>
      </c>
      <c r="F91" s="55">
        <v>2</v>
      </c>
      <c r="G91" s="56">
        <v>468</v>
      </c>
      <c r="H91" s="52">
        <f t="shared" si="14"/>
        <v>936</v>
      </c>
      <c r="I91" s="50"/>
      <c r="J91" s="41"/>
      <c r="K91" s="227"/>
    </row>
    <row r="92" spans="1:11" ht="46.5">
      <c r="A92" s="45"/>
      <c r="B92" s="38"/>
      <c r="C92" s="150"/>
      <c r="D92" s="24"/>
      <c r="E92" s="53" t="s">
        <v>379</v>
      </c>
      <c r="F92" s="24">
        <v>8</v>
      </c>
      <c r="G92" s="21">
        <v>150</v>
      </c>
      <c r="H92" s="21">
        <f t="shared" si="14"/>
        <v>1200</v>
      </c>
      <c r="I92" s="50"/>
      <c r="J92" s="41"/>
      <c r="K92" s="227"/>
    </row>
    <row r="93" spans="1:11">
      <c r="A93" s="45"/>
      <c r="B93" s="38"/>
      <c r="C93" s="148"/>
      <c r="D93" s="37"/>
      <c r="E93" s="51" t="s">
        <v>364</v>
      </c>
      <c r="F93" s="37">
        <v>2</v>
      </c>
      <c r="G93" s="40">
        <v>1092</v>
      </c>
      <c r="H93" s="40">
        <f t="shared" si="14"/>
        <v>2184</v>
      </c>
      <c r="I93" s="18"/>
      <c r="J93" s="41"/>
      <c r="K93" s="227"/>
    </row>
    <row r="94" spans="1:11">
      <c r="A94" s="45"/>
      <c r="B94" s="38"/>
      <c r="C94" s="148"/>
      <c r="D94" s="37"/>
      <c r="E94" s="12" t="s">
        <v>363</v>
      </c>
      <c r="F94" s="37">
        <v>2</v>
      </c>
      <c r="G94" s="13">
        <v>468</v>
      </c>
      <c r="H94" s="13">
        <f t="shared" si="14"/>
        <v>936</v>
      </c>
      <c r="I94" s="18"/>
      <c r="J94" s="41"/>
      <c r="K94" s="227"/>
    </row>
    <row r="95" spans="1:11" ht="38.25">
      <c r="A95" s="45"/>
      <c r="B95" s="38"/>
      <c r="C95" s="148"/>
      <c r="D95" s="37"/>
      <c r="E95" s="12" t="s">
        <v>374</v>
      </c>
      <c r="F95" s="37"/>
      <c r="G95" s="2">
        <f t="shared" ref="G95:G101" si="15">I95</f>
        <v>461.70000000000005</v>
      </c>
      <c r="H95" s="13">
        <f t="shared" ref="H95:H102" si="16">G95*1.16</f>
        <v>535.572</v>
      </c>
      <c r="I95" s="18">
        <f>J95*1.35</f>
        <v>461.70000000000005</v>
      </c>
      <c r="J95" s="41">
        <v>342</v>
      </c>
      <c r="K95" s="227"/>
    </row>
    <row r="96" spans="1:11" ht="21">
      <c r="A96" s="45"/>
      <c r="B96" s="38"/>
      <c r="C96" s="148"/>
      <c r="D96" s="37"/>
      <c r="E96" s="37" t="s">
        <v>368</v>
      </c>
      <c r="F96" s="37"/>
      <c r="G96" s="13">
        <f t="shared" si="15"/>
        <v>363.47499999999997</v>
      </c>
      <c r="H96" s="13">
        <f t="shared" si="16"/>
        <v>421.63099999999991</v>
      </c>
      <c r="I96" s="18">
        <f>J96*1.75</f>
        <v>363.47499999999997</v>
      </c>
      <c r="J96" s="41">
        <v>207.7</v>
      </c>
      <c r="K96" s="227"/>
    </row>
    <row r="97" spans="1:11" ht="21">
      <c r="A97" s="45"/>
      <c r="B97" s="38"/>
      <c r="C97" s="148"/>
      <c r="D97" s="37"/>
      <c r="E97" s="37" t="s">
        <v>369</v>
      </c>
      <c r="F97" s="37"/>
      <c r="G97" s="13">
        <f t="shared" si="15"/>
        <v>494.60249999999996</v>
      </c>
      <c r="H97" s="13">
        <f t="shared" si="16"/>
        <v>573.73889999999994</v>
      </c>
      <c r="I97" s="18">
        <f>J97*1.75</f>
        <v>494.60249999999996</v>
      </c>
      <c r="J97" s="41">
        <v>282.63</v>
      </c>
      <c r="K97" s="227"/>
    </row>
    <row r="98" spans="1:11" ht="21">
      <c r="A98" s="45"/>
      <c r="B98" s="38"/>
      <c r="C98" s="148"/>
      <c r="D98" s="37"/>
      <c r="E98" s="37" t="s">
        <v>370</v>
      </c>
      <c r="F98" s="37"/>
      <c r="G98" s="13">
        <f t="shared" si="15"/>
        <v>125.8425</v>
      </c>
      <c r="H98" s="13">
        <f t="shared" si="16"/>
        <v>145.97729999999999</v>
      </c>
      <c r="I98" s="18">
        <f>J98*1.75</f>
        <v>125.8425</v>
      </c>
      <c r="J98" s="41">
        <v>71.91</v>
      </c>
      <c r="K98" s="227">
        <f>I102/3.66</f>
        <v>81.053142076502724</v>
      </c>
    </row>
    <row r="99" spans="1:11" ht="21">
      <c r="A99" s="45"/>
      <c r="B99" s="38"/>
      <c r="C99" s="148"/>
      <c r="D99" s="37"/>
      <c r="E99" s="37" t="s">
        <v>371</v>
      </c>
      <c r="F99" s="37"/>
      <c r="G99" s="13">
        <f t="shared" si="15"/>
        <v>127.5925</v>
      </c>
      <c r="H99" s="13">
        <f t="shared" si="16"/>
        <v>148.00729999999999</v>
      </c>
      <c r="I99" s="18">
        <f>J99*1.75</f>
        <v>127.5925</v>
      </c>
      <c r="J99" s="41">
        <v>72.91</v>
      </c>
      <c r="K99" s="234"/>
    </row>
    <row r="100" spans="1:11" ht="18.75">
      <c r="A100" s="45"/>
      <c r="B100" s="38"/>
      <c r="C100" s="148"/>
      <c r="D100" s="37"/>
      <c r="E100" s="37" t="s">
        <v>372</v>
      </c>
      <c r="F100" s="37"/>
      <c r="G100" s="39">
        <f t="shared" si="15"/>
        <v>193.75</v>
      </c>
      <c r="H100" s="39">
        <f t="shared" si="16"/>
        <v>224.74999999999997</v>
      </c>
      <c r="I100" s="40">
        <f>J100*1.25</f>
        <v>193.75</v>
      </c>
      <c r="J100" s="41">
        <v>155</v>
      </c>
      <c r="K100" s="234"/>
    </row>
    <row r="101" spans="1:11">
      <c r="A101" s="45"/>
      <c r="B101" s="38"/>
      <c r="C101" s="148"/>
      <c r="D101" s="37"/>
      <c r="E101" s="37"/>
      <c r="F101" s="37"/>
      <c r="G101" s="39">
        <f t="shared" si="15"/>
        <v>0</v>
      </c>
      <c r="H101" s="39">
        <f t="shared" si="16"/>
        <v>0</v>
      </c>
      <c r="I101" s="40">
        <f>J101*1.25</f>
        <v>0</v>
      </c>
      <c r="J101" s="41"/>
      <c r="K101" s="234"/>
    </row>
    <row r="102" spans="1:11" ht="33.75">
      <c r="A102" s="45"/>
      <c r="B102" s="38"/>
      <c r="C102" s="148"/>
      <c r="D102" s="37"/>
      <c r="E102" s="29" t="s">
        <v>373</v>
      </c>
      <c r="F102" s="37">
        <v>1</v>
      </c>
      <c r="G102" s="42">
        <v>81</v>
      </c>
      <c r="H102" s="39">
        <f t="shared" si="16"/>
        <v>93.96</v>
      </c>
      <c r="I102" s="40">
        <f>J102*1.55</f>
        <v>296.65449999999998</v>
      </c>
      <c r="J102" s="41">
        <v>191.39</v>
      </c>
      <c r="K102" s="234"/>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tabColor theme="1"/>
  </sheetPr>
  <dimension ref="A1:G178"/>
  <sheetViews>
    <sheetView topLeftCell="A16" zoomScaleNormal="100" workbookViewId="0">
      <selection activeCell="J34" sqref="J34"/>
    </sheetView>
  </sheetViews>
  <sheetFormatPr baseColWidth="10" defaultColWidth="10.7109375" defaultRowHeight="15"/>
  <cols>
    <col min="1" max="1" width="7.42578125" style="383" customWidth="1"/>
    <col min="2" max="2" width="8.28515625" style="19" customWidth="1"/>
    <col min="3" max="3" width="48.28515625" style="19" customWidth="1"/>
    <col min="4" max="4" width="5.7109375" style="19" customWidth="1"/>
    <col min="5" max="5" width="9.85546875" style="19" customWidth="1"/>
    <col min="6" max="6" width="10.5703125" style="19" customWidth="1"/>
    <col min="7" max="7" width="14.42578125" style="19" customWidth="1"/>
    <col min="8" max="8" width="18.28515625" style="19" customWidth="1"/>
    <col min="9" max="9" width="18.7109375" style="19" customWidth="1"/>
    <col min="10" max="10" width="18.42578125" style="19" customWidth="1"/>
    <col min="11" max="11" width="13" style="19" customWidth="1"/>
    <col min="12" max="16384" width="10.7109375" style="19"/>
  </cols>
  <sheetData>
    <row r="1" spans="1:7" ht="21">
      <c r="A1" s="489" t="s">
        <v>669</v>
      </c>
      <c r="B1" s="489"/>
      <c r="C1" s="489"/>
      <c r="D1" s="489"/>
      <c r="E1" s="489"/>
      <c r="F1" s="489"/>
      <c r="G1" s="104"/>
    </row>
    <row r="2" spans="1:7" ht="199.15" customHeight="1">
      <c r="A2" s="380" t="s">
        <v>677</v>
      </c>
      <c r="B2" s="332" t="s">
        <v>453</v>
      </c>
      <c r="C2" s="332" t="s">
        <v>674</v>
      </c>
      <c r="D2" s="333">
        <v>1</v>
      </c>
      <c r="E2" s="334">
        <v>5512</v>
      </c>
      <c r="F2" s="335">
        <f>E2*D2</f>
        <v>5512</v>
      </c>
    </row>
    <row r="3" spans="1:7" ht="20.45" customHeight="1">
      <c r="A3" s="380"/>
      <c r="B3" s="336"/>
      <c r="C3" s="337"/>
      <c r="D3" s="338" t="s">
        <v>149</v>
      </c>
      <c r="E3" s="339">
        <v>0.16</v>
      </c>
      <c r="F3" s="335">
        <f>F2*E3</f>
        <v>881.92000000000007</v>
      </c>
    </row>
    <row r="4" spans="1:7" ht="20.45" customHeight="1">
      <c r="A4" s="380"/>
      <c r="B4" s="340"/>
      <c r="C4" s="340"/>
      <c r="D4" s="340"/>
      <c r="E4" s="339" t="s">
        <v>382</v>
      </c>
      <c r="F4" s="335">
        <f>F3+F2</f>
        <v>6393.92</v>
      </c>
    </row>
    <row r="5" spans="1:7" s="3" customFormat="1" ht="20.45" customHeight="1">
      <c r="A5" s="382"/>
      <c r="B5" s="377"/>
      <c r="C5" s="377"/>
      <c r="D5" s="377"/>
      <c r="E5" s="298"/>
      <c r="F5" s="378"/>
    </row>
    <row r="6" spans="1:7" ht="216" customHeight="1">
      <c r="A6" s="381" t="s">
        <v>678</v>
      </c>
      <c r="B6" s="344" t="s">
        <v>380</v>
      </c>
      <c r="C6" s="344" t="s">
        <v>675</v>
      </c>
      <c r="D6" s="345">
        <v>1</v>
      </c>
      <c r="E6" s="346">
        <v>12484</v>
      </c>
      <c r="F6" s="343">
        <f>E6*D6</f>
        <v>12484</v>
      </c>
    </row>
    <row r="7" spans="1:7" ht="20.45" customHeight="1">
      <c r="A7" s="381"/>
      <c r="B7" s="347"/>
      <c r="C7" s="348"/>
      <c r="D7" s="349" t="s">
        <v>149</v>
      </c>
      <c r="E7" s="342">
        <v>0.16</v>
      </c>
      <c r="F7" s="343">
        <f>F6*E7</f>
        <v>1997.44</v>
      </c>
    </row>
    <row r="8" spans="1:7" ht="20.45" customHeight="1">
      <c r="A8" s="381"/>
      <c r="B8" s="341" t="s">
        <v>381</v>
      </c>
      <c r="C8" s="341"/>
      <c r="D8" s="341"/>
      <c r="E8" s="342" t="s">
        <v>382</v>
      </c>
      <c r="F8" s="343">
        <f>F7+F6</f>
        <v>14481.44</v>
      </c>
    </row>
    <row r="9" spans="1:7" s="3" customFormat="1" ht="20.45" customHeight="1">
      <c r="A9" s="382"/>
      <c r="B9" s="377"/>
      <c r="C9" s="377"/>
      <c r="D9" s="377"/>
      <c r="E9" s="298"/>
      <c r="F9" s="378"/>
    </row>
    <row r="10" spans="1:7" ht="179.45" customHeight="1">
      <c r="A10" s="380" t="s">
        <v>684</v>
      </c>
      <c r="B10" s="332" t="s">
        <v>454</v>
      </c>
      <c r="C10" s="332" t="s">
        <v>694</v>
      </c>
      <c r="D10" s="333">
        <v>1</v>
      </c>
      <c r="E10" s="334">
        <v>7462</v>
      </c>
      <c r="F10" s="335">
        <f>E10*D10</f>
        <v>7462</v>
      </c>
    </row>
    <row r="11" spans="1:7" ht="20.45" customHeight="1">
      <c r="A11" s="380"/>
      <c r="B11" s="336"/>
      <c r="C11" s="337"/>
      <c r="D11" s="338" t="s">
        <v>149</v>
      </c>
      <c r="E11" s="339">
        <v>0.16</v>
      </c>
      <c r="F11" s="335">
        <f>F10*E11</f>
        <v>1193.92</v>
      </c>
    </row>
    <row r="12" spans="1:7" ht="20.45" customHeight="1">
      <c r="A12" s="380"/>
      <c r="B12" s="340"/>
      <c r="C12" s="340" t="s">
        <v>381</v>
      </c>
      <c r="D12" s="340"/>
      <c r="E12" s="339" t="s">
        <v>382</v>
      </c>
      <c r="F12" s="335">
        <f>F11+F10</f>
        <v>8655.92</v>
      </c>
    </row>
    <row r="13" spans="1:7" s="3" customFormat="1" ht="20.45" customHeight="1">
      <c r="A13" s="382"/>
      <c r="B13" s="7"/>
      <c r="C13" s="7"/>
      <c r="D13" s="7"/>
      <c r="E13" s="7"/>
      <c r="F13" s="7"/>
    </row>
    <row r="14" spans="1:7" ht="239.45" customHeight="1">
      <c r="A14" s="381" t="s">
        <v>679</v>
      </c>
      <c r="B14" s="344" t="s">
        <v>671</v>
      </c>
      <c r="C14" s="344" t="s">
        <v>695</v>
      </c>
      <c r="D14" s="345">
        <v>1</v>
      </c>
      <c r="E14" s="346">
        <v>15909</v>
      </c>
      <c r="F14" s="343">
        <f>E14*D14</f>
        <v>15909</v>
      </c>
    </row>
    <row r="15" spans="1:7" ht="20.45" customHeight="1">
      <c r="A15" s="381"/>
      <c r="B15" s="347"/>
      <c r="C15" s="348"/>
      <c r="D15" s="349" t="s">
        <v>149</v>
      </c>
      <c r="E15" s="342">
        <v>0.16</v>
      </c>
      <c r="F15" s="343">
        <f>F14*E15</f>
        <v>2545.44</v>
      </c>
    </row>
    <row r="16" spans="1:7" ht="20.45" customHeight="1">
      <c r="A16" s="381"/>
      <c r="B16" s="341" t="s">
        <v>381</v>
      </c>
      <c r="C16" s="341"/>
      <c r="D16" s="341"/>
      <c r="E16" s="342" t="s">
        <v>382</v>
      </c>
      <c r="F16" s="343">
        <f>F15+F14</f>
        <v>18454.439999999999</v>
      </c>
    </row>
    <row r="17" spans="1:6" ht="157.9" customHeight="1">
      <c r="A17" s="380" t="s">
        <v>685</v>
      </c>
      <c r="B17" s="332" t="s">
        <v>676</v>
      </c>
      <c r="C17" s="332" t="s">
        <v>697</v>
      </c>
      <c r="D17" s="333">
        <v>1</v>
      </c>
      <c r="E17" s="334">
        <v>10084</v>
      </c>
      <c r="F17" s="335">
        <f>E17*D17</f>
        <v>10084</v>
      </c>
    </row>
    <row r="18" spans="1:6" ht="20.45" customHeight="1">
      <c r="A18" s="380"/>
      <c r="B18" s="336"/>
      <c r="C18" s="337"/>
      <c r="D18" s="338" t="s">
        <v>149</v>
      </c>
      <c r="E18" s="339">
        <v>0.16</v>
      </c>
      <c r="F18" s="335">
        <f>F17*E18</f>
        <v>1613.44</v>
      </c>
    </row>
    <row r="19" spans="1:6" ht="20.45" customHeight="1">
      <c r="A19" s="380"/>
      <c r="B19" s="340"/>
      <c r="C19" s="340"/>
      <c r="D19" s="340"/>
      <c r="E19" s="339" t="s">
        <v>382</v>
      </c>
      <c r="F19" s="335">
        <f>F18+F17</f>
        <v>11697.44</v>
      </c>
    </row>
    <row r="20" spans="1:6" ht="6" customHeight="1">
      <c r="A20" s="379"/>
      <c r="B20" s="7"/>
      <c r="C20" s="7"/>
      <c r="D20" s="7"/>
      <c r="E20" s="7"/>
      <c r="F20" s="7"/>
    </row>
    <row r="21" spans="1:6" ht="225" customHeight="1">
      <c r="A21" s="381" t="s">
        <v>680</v>
      </c>
      <c r="B21" s="344" t="s">
        <v>384</v>
      </c>
      <c r="C21" s="344" t="s">
        <v>696</v>
      </c>
      <c r="D21" s="345">
        <v>1</v>
      </c>
      <c r="E21" s="346">
        <v>17333</v>
      </c>
      <c r="F21" s="343">
        <f>E21*D21</f>
        <v>17333</v>
      </c>
    </row>
    <row r="22" spans="1:6" ht="20.45" customHeight="1">
      <c r="A22" s="381"/>
      <c r="B22" s="347"/>
      <c r="C22" s="348"/>
      <c r="D22" s="349" t="s">
        <v>149</v>
      </c>
      <c r="E22" s="342">
        <v>0.16</v>
      </c>
      <c r="F22" s="343">
        <f>F21*E22</f>
        <v>2773.28</v>
      </c>
    </row>
    <row r="23" spans="1:6" ht="20.45" customHeight="1">
      <c r="A23" s="381"/>
      <c r="B23" s="341" t="s">
        <v>381</v>
      </c>
      <c r="C23" s="341"/>
      <c r="D23" s="341"/>
      <c r="E23" s="342" t="s">
        <v>382</v>
      </c>
      <c r="F23" s="343">
        <f>F22+F21</f>
        <v>20106.28</v>
      </c>
    </row>
    <row r="24" spans="1:6" ht="4.1500000000000004" customHeight="1">
      <c r="A24" s="379"/>
      <c r="B24" s="7"/>
      <c r="C24" s="7"/>
      <c r="D24" s="7"/>
      <c r="E24" s="7"/>
      <c r="F24" s="7"/>
    </row>
    <row r="25" spans="1:6" ht="161.44999999999999" customHeight="1">
      <c r="A25" s="380" t="s">
        <v>681</v>
      </c>
      <c r="B25" s="332" t="s">
        <v>385</v>
      </c>
      <c r="C25" s="332" t="s">
        <v>693</v>
      </c>
      <c r="D25" s="333">
        <v>1</v>
      </c>
      <c r="E25" s="334">
        <v>10388</v>
      </c>
      <c r="F25" s="335">
        <f>E25*D25</f>
        <v>10388</v>
      </c>
    </row>
    <row r="26" spans="1:6" ht="20.45" customHeight="1">
      <c r="A26" s="380" t="s">
        <v>672</v>
      </c>
      <c r="B26" s="336"/>
      <c r="C26" s="337"/>
      <c r="D26" s="338" t="s">
        <v>149</v>
      </c>
      <c r="E26" s="339">
        <v>0.16</v>
      </c>
      <c r="F26" s="335">
        <f>F25*E26</f>
        <v>1662.08</v>
      </c>
    </row>
    <row r="27" spans="1:6" ht="20.45" customHeight="1">
      <c r="A27" s="380"/>
      <c r="B27" s="340"/>
      <c r="C27" s="340"/>
      <c r="D27" s="340"/>
      <c r="E27" s="339" t="s">
        <v>382</v>
      </c>
      <c r="F27" s="335">
        <f>F26+F25</f>
        <v>12050.08</v>
      </c>
    </row>
    <row r="28" spans="1:6" ht="165" customHeight="1">
      <c r="A28" s="381" t="s">
        <v>682</v>
      </c>
      <c r="B28" s="344" t="s">
        <v>456</v>
      </c>
      <c r="C28" s="344" t="s">
        <v>692</v>
      </c>
      <c r="D28" s="345">
        <v>1</v>
      </c>
      <c r="E28" s="346">
        <v>18263</v>
      </c>
      <c r="F28" s="343">
        <f>E28*D28</f>
        <v>18263</v>
      </c>
    </row>
    <row r="29" spans="1:6" ht="20.45" customHeight="1">
      <c r="A29" s="381"/>
      <c r="B29" s="347"/>
      <c r="C29" s="348"/>
      <c r="D29" s="349" t="s">
        <v>149</v>
      </c>
      <c r="E29" s="342">
        <v>0.16</v>
      </c>
      <c r="F29" s="343">
        <f>F28*E29</f>
        <v>2922.08</v>
      </c>
    </row>
    <row r="30" spans="1:6" ht="20.45" customHeight="1">
      <c r="A30" s="381"/>
      <c r="B30" s="341"/>
      <c r="C30" s="341"/>
      <c r="D30" s="341"/>
      <c r="E30" s="342" t="s">
        <v>382</v>
      </c>
      <c r="F30" s="343">
        <f>F29+F28</f>
        <v>21185.08</v>
      </c>
    </row>
    <row r="31" spans="1:6" ht="207" customHeight="1">
      <c r="A31" s="380" t="s">
        <v>683</v>
      </c>
      <c r="B31" s="332" t="s">
        <v>386</v>
      </c>
      <c r="C31" s="332" t="s">
        <v>691</v>
      </c>
      <c r="D31" s="333">
        <v>1</v>
      </c>
      <c r="E31" s="334">
        <v>10768</v>
      </c>
      <c r="F31" s="335">
        <f>E31*D31</f>
        <v>10768</v>
      </c>
    </row>
    <row r="32" spans="1:6" ht="20.45" customHeight="1">
      <c r="A32" s="380"/>
      <c r="B32" s="336"/>
      <c r="C32" s="337"/>
      <c r="D32" s="338" t="s">
        <v>149</v>
      </c>
      <c r="E32" s="339">
        <v>0.16</v>
      </c>
      <c r="F32" s="335">
        <f>F31*E32</f>
        <v>1722.88</v>
      </c>
    </row>
    <row r="33" spans="1:7" ht="20.45" customHeight="1">
      <c r="A33" s="380"/>
      <c r="B33" s="340"/>
      <c r="C33" s="340"/>
      <c r="D33" s="340"/>
      <c r="E33" s="339" t="s">
        <v>382</v>
      </c>
      <c r="F33" s="335">
        <f>F32+F31</f>
        <v>12490.880000000001</v>
      </c>
    </row>
    <row r="34" spans="1:7" ht="166.9" customHeight="1">
      <c r="A34" s="381" t="s">
        <v>698</v>
      </c>
      <c r="B34" s="344" t="s">
        <v>673</v>
      </c>
      <c r="C34" s="344" t="s">
        <v>690</v>
      </c>
      <c r="D34" s="345">
        <v>1</v>
      </c>
      <c r="E34" s="346">
        <v>20119</v>
      </c>
      <c r="F34" s="343">
        <f>E34*D34</f>
        <v>20119</v>
      </c>
    </row>
    <row r="35" spans="1:7" ht="20.45" customHeight="1">
      <c r="A35" s="381"/>
      <c r="B35" s="347"/>
      <c r="C35" s="348"/>
      <c r="D35" s="349" t="s">
        <v>149</v>
      </c>
      <c r="E35" s="342">
        <v>0.16</v>
      </c>
      <c r="F35" s="343">
        <f>F34*E35</f>
        <v>3219.04</v>
      </c>
    </row>
    <row r="36" spans="1:7" ht="20.45" customHeight="1">
      <c r="A36" s="381"/>
      <c r="B36" s="341" t="s">
        <v>381</v>
      </c>
      <c r="C36" s="341"/>
      <c r="D36" s="341"/>
      <c r="E36" s="342" t="s">
        <v>382</v>
      </c>
      <c r="F36" s="343">
        <f>F35+F34</f>
        <v>23338.04</v>
      </c>
    </row>
    <row r="37" spans="1:7" ht="207" customHeight="1">
      <c r="A37" s="380" t="s">
        <v>699</v>
      </c>
      <c r="B37" s="332" t="s">
        <v>387</v>
      </c>
      <c r="C37" s="332" t="s">
        <v>700</v>
      </c>
      <c r="D37" s="333">
        <v>1</v>
      </c>
      <c r="E37" s="334">
        <v>18970</v>
      </c>
      <c r="F37" s="335">
        <f>E37*D37</f>
        <v>18970</v>
      </c>
    </row>
    <row r="38" spans="1:7" ht="20.45" customHeight="1">
      <c r="A38" s="380"/>
      <c r="B38" s="336"/>
      <c r="C38" s="337"/>
      <c r="D38" s="338" t="s">
        <v>149</v>
      </c>
      <c r="E38" s="339">
        <v>0.16</v>
      </c>
      <c r="F38" s="335">
        <f>F37*E38</f>
        <v>3035.2000000000003</v>
      </c>
    </row>
    <row r="39" spans="1:7" ht="20.45" customHeight="1">
      <c r="A39" s="380"/>
      <c r="B39" s="340"/>
      <c r="C39" s="340"/>
      <c r="D39" s="340"/>
      <c r="E39" s="339" t="s">
        <v>382</v>
      </c>
      <c r="F39" s="335">
        <f>F38+F37</f>
        <v>22005.200000000001</v>
      </c>
    </row>
    <row r="40" spans="1:7" ht="166.9" customHeight="1">
      <c r="A40" s="381" t="s">
        <v>702</v>
      </c>
      <c r="B40" s="344" t="s">
        <v>673</v>
      </c>
      <c r="C40" s="344" t="s">
        <v>701</v>
      </c>
      <c r="D40" s="345">
        <v>1</v>
      </c>
      <c r="E40" s="346">
        <v>29785</v>
      </c>
      <c r="F40" s="343">
        <f>E40*D40</f>
        <v>29785</v>
      </c>
    </row>
    <row r="41" spans="1:7" ht="20.45" customHeight="1">
      <c r="A41" s="381"/>
      <c r="B41" s="347"/>
      <c r="C41" s="348"/>
      <c r="D41" s="349" t="s">
        <v>149</v>
      </c>
      <c r="E41" s="342">
        <v>0.16</v>
      </c>
      <c r="F41" s="343">
        <f>F40*E41</f>
        <v>4765.6000000000004</v>
      </c>
    </row>
    <row r="42" spans="1:7" ht="20.45" customHeight="1">
      <c r="A42" s="381"/>
      <c r="B42" s="341" t="s">
        <v>381</v>
      </c>
      <c r="C42" s="341"/>
      <c r="D42" s="341"/>
      <c r="E42" s="342" t="s">
        <v>382</v>
      </c>
      <c r="F42" s="343">
        <f>F41+F40</f>
        <v>34550.6</v>
      </c>
    </row>
    <row r="43" spans="1:7" ht="173.45" customHeight="1">
      <c r="A43" s="380" t="s">
        <v>686</v>
      </c>
      <c r="B43" s="332" t="s">
        <v>670</v>
      </c>
      <c r="C43" s="332" t="s">
        <v>689</v>
      </c>
      <c r="D43" s="333">
        <v>1</v>
      </c>
      <c r="E43" s="334">
        <v>19730</v>
      </c>
      <c r="F43" s="335">
        <f>E43*D43</f>
        <v>19730</v>
      </c>
    </row>
    <row r="44" spans="1:7" ht="18.600000000000001" customHeight="1">
      <c r="A44" s="380"/>
      <c r="B44" s="336"/>
      <c r="C44" s="337"/>
      <c r="D44" s="338" t="s">
        <v>149</v>
      </c>
      <c r="E44" s="339">
        <v>0.16</v>
      </c>
      <c r="F44" s="335">
        <f>F43*E44</f>
        <v>3156.8</v>
      </c>
    </row>
    <row r="45" spans="1:7" ht="22.15" customHeight="1">
      <c r="A45" s="380"/>
      <c r="B45" s="340"/>
      <c r="C45" s="340"/>
      <c r="D45" s="340"/>
      <c r="E45" s="339" t="s">
        <v>382</v>
      </c>
      <c r="F45" s="335">
        <f>F44+F43</f>
        <v>22886.799999999999</v>
      </c>
    </row>
    <row r="46" spans="1:7" ht="194.45" customHeight="1">
      <c r="A46" s="381" t="s">
        <v>687</v>
      </c>
      <c r="B46" s="344" t="s">
        <v>670</v>
      </c>
      <c r="C46" s="344" t="s">
        <v>688</v>
      </c>
      <c r="D46" s="345">
        <v>1</v>
      </c>
      <c r="E46" s="346">
        <v>30545</v>
      </c>
      <c r="F46" s="343">
        <f>E46*D46</f>
        <v>30545</v>
      </c>
      <c r="G46" s="331"/>
    </row>
    <row r="47" spans="1:7" ht="22.15" customHeight="1">
      <c r="A47" s="381"/>
      <c r="B47" s="347"/>
      <c r="C47" s="348"/>
      <c r="D47" s="349" t="s">
        <v>149</v>
      </c>
      <c r="E47" s="342">
        <v>0.16</v>
      </c>
      <c r="F47" s="343">
        <f>F46*E47</f>
        <v>4887.2</v>
      </c>
    </row>
    <row r="48" spans="1:7" ht="20.45" customHeight="1">
      <c r="A48" s="381"/>
      <c r="B48" s="341"/>
      <c r="C48" s="341"/>
      <c r="D48" s="341"/>
      <c r="E48" s="342" t="s">
        <v>382</v>
      </c>
      <c r="F48" s="343">
        <f>F47+F46</f>
        <v>35432.199999999997</v>
      </c>
    </row>
    <row r="49" ht="19.899999999999999" customHeight="1"/>
    <row r="50" ht="19.899999999999999" customHeight="1"/>
    <row r="51" ht="19.899999999999999" customHeight="1"/>
    <row r="52" ht="19.899999999999999" customHeight="1"/>
    <row r="53" ht="19.899999999999999" customHeight="1"/>
    <row r="54" ht="19.899999999999999" customHeight="1"/>
    <row r="55" ht="19.899999999999999" customHeight="1"/>
    <row r="56" ht="19.899999999999999" customHeight="1"/>
    <row r="57" ht="19.899999999999999" customHeight="1"/>
    <row r="58" ht="19.899999999999999" customHeight="1"/>
    <row r="59" ht="19.899999999999999" customHeight="1"/>
    <row r="60" ht="19.899999999999999" customHeight="1"/>
    <row r="61" ht="19.899999999999999" customHeight="1"/>
    <row r="62" ht="19.899999999999999" customHeight="1"/>
    <row r="63" ht="19.899999999999999" customHeight="1"/>
    <row r="64" ht="19.899999999999999" customHeight="1"/>
    <row r="65" ht="19.899999999999999" customHeight="1"/>
    <row r="66" ht="19.899999999999999" customHeight="1"/>
    <row r="67" ht="19.899999999999999" customHeight="1"/>
    <row r="68" ht="19.899999999999999" customHeight="1"/>
    <row r="69" ht="19.899999999999999" customHeight="1"/>
    <row r="70" ht="19.899999999999999" customHeight="1"/>
    <row r="71" ht="19.899999999999999" customHeight="1"/>
    <row r="72" ht="19.899999999999999" customHeight="1"/>
    <row r="73" ht="19.899999999999999" customHeight="1"/>
    <row r="74" ht="19.899999999999999" customHeight="1"/>
    <row r="75" ht="19.899999999999999" customHeight="1"/>
    <row r="76" ht="19.899999999999999" customHeight="1"/>
    <row r="77" ht="19.899999999999999" customHeight="1"/>
    <row r="78" ht="19.899999999999999" customHeight="1"/>
    <row r="79" ht="19.899999999999999" customHeight="1"/>
    <row r="80" ht="19.899999999999999" customHeight="1"/>
    <row r="81" ht="19.899999999999999" customHeight="1"/>
    <row r="82" ht="19.899999999999999" customHeight="1"/>
    <row r="83" ht="19.899999999999999" customHeight="1"/>
    <row r="84" ht="19.899999999999999" customHeight="1"/>
    <row r="85" ht="19.899999999999999" customHeight="1"/>
    <row r="86" ht="19.899999999999999" customHeight="1"/>
    <row r="87" ht="19.899999999999999" customHeight="1"/>
    <row r="88" ht="19.899999999999999" customHeight="1"/>
    <row r="89" ht="19.899999999999999" customHeight="1"/>
    <row r="90" ht="19.899999999999999" customHeight="1"/>
    <row r="91" ht="19.899999999999999" customHeight="1"/>
    <row r="92" ht="19.899999999999999" customHeight="1"/>
    <row r="93" ht="19.899999999999999" customHeight="1"/>
    <row r="94" ht="19.899999999999999" customHeight="1"/>
    <row r="95" ht="19.899999999999999" customHeight="1"/>
    <row r="96" ht="19.899999999999999" customHeight="1"/>
    <row r="97" ht="19.899999999999999" customHeight="1"/>
    <row r="98" ht="19.899999999999999" customHeight="1"/>
    <row r="99" ht="19.899999999999999" customHeight="1"/>
    <row r="100" ht="19.899999999999999" customHeight="1"/>
    <row r="101" ht="19.899999999999999" customHeight="1"/>
    <row r="102" ht="19.899999999999999" customHeight="1"/>
    <row r="103" ht="19.899999999999999" customHeight="1"/>
    <row r="104" ht="19.899999999999999" customHeight="1"/>
    <row r="105" ht="49.9" customHeight="1"/>
    <row r="106" ht="49.9" customHeight="1"/>
    <row r="107" ht="49.9" customHeight="1"/>
    <row r="108" ht="49.9" customHeight="1"/>
    <row r="109" ht="49.9" customHeight="1"/>
    <row r="110" ht="49.9" customHeight="1"/>
    <row r="111" ht="49.9" customHeight="1"/>
    <row r="112" ht="49.9" customHeight="1"/>
    <row r="113" ht="49.9" customHeight="1"/>
    <row r="114" ht="49.9" customHeight="1"/>
    <row r="115" ht="49.9" customHeight="1"/>
    <row r="116" ht="49.9" customHeight="1"/>
    <row r="117" ht="49.9" customHeight="1"/>
    <row r="118" ht="49.9" customHeight="1"/>
    <row r="119" ht="49.9" customHeight="1"/>
    <row r="120" ht="49.9" customHeight="1"/>
    <row r="121" ht="49.9" customHeight="1"/>
    <row r="122" ht="49.9" customHeight="1"/>
    <row r="123" ht="49.9" customHeight="1"/>
    <row r="124" ht="49.9" customHeight="1"/>
    <row r="125" ht="49.9" customHeight="1"/>
    <row r="126" ht="49.9" customHeight="1"/>
    <row r="127" ht="49.9" customHeight="1"/>
    <row r="128" ht="49.9" customHeight="1"/>
    <row r="129" ht="49.9" customHeight="1"/>
    <row r="130" ht="49.9" customHeight="1"/>
    <row r="131" ht="49.9" customHeight="1"/>
    <row r="132" ht="49.9" customHeight="1"/>
    <row r="133" ht="49.9" customHeight="1"/>
    <row r="134" ht="49.9" customHeight="1"/>
    <row r="135" ht="49.9" customHeight="1"/>
    <row r="136" ht="49.9" customHeight="1"/>
    <row r="137" ht="49.9" customHeight="1"/>
    <row r="138" ht="49.9" customHeight="1"/>
    <row r="139" ht="49.9" customHeight="1"/>
    <row r="140" ht="49.9" customHeight="1"/>
    <row r="141" ht="49.9" customHeight="1"/>
    <row r="142" ht="49.9" customHeight="1"/>
    <row r="143" ht="49.9" customHeight="1"/>
    <row r="144" ht="49.9" customHeight="1"/>
    <row r="145" ht="49.9" customHeight="1"/>
    <row r="146" ht="49.9" customHeight="1"/>
    <row r="147" ht="49.9" customHeight="1"/>
    <row r="148" ht="49.9" customHeight="1"/>
    <row r="149" ht="49.9" customHeight="1"/>
    <row r="150" ht="49.9" customHeight="1"/>
    <row r="151" ht="49.9" customHeight="1"/>
    <row r="152" ht="49.9" customHeight="1"/>
    <row r="153" ht="49.9" customHeight="1"/>
    <row r="154" ht="49.9" customHeight="1"/>
    <row r="155" ht="49.9" customHeight="1"/>
    <row r="156" ht="49.9" customHeight="1"/>
    <row r="157" ht="49.9" customHeight="1"/>
    <row r="158" ht="49.9" customHeight="1"/>
    <row r="159" ht="49.9" customHeight="1"/>
    <row r="160" ht="49.9" customHeight="1"/>
    <row r="161" ht="49.9" customHeight="1"/>
    <row r="162" ht="49.9" customHeight="1"/>
    <row r="163" ht="49.9" customHeight="1"/>
    <row r="164" ht="49.9" customHeight="1"/>
    <row r="165" ht="49.9" customHeight="1"/>
    <row r="166" ht="49.9" customHeight="1"/>
    <row r="167" ht="49.9" customHeight="1"/>
    <row r="168" ht="49.9" customHeight="1"/>
    <row r="169" ht="49.9" customHeight="1"/>
    <row r="170" ht="49.9" customHeight="1"/>
    <row r="171" ht="49.9" customHeight="1"/>
    <row r="172" ht="49.9" customHeight="1"/>
    <row r="173" ht="49.9" customHeight="1"/>
    <row r="174" ht="49.9" customHeight="1"/>
    <row r="175" ht="49.9" customHeight="1"/>
    <row r="176" ht="49.9" customHeight="1"/>
    <row r="177" ht="49.9" customHeight="1"/>
    <row r="178" ht="49.9" customHeight="1"/>
  </sheetData>
  <protectedRanges>
    <protectedRange sqref="D6:D9" name="Datos Generales_1_1_2"/>
    <protectedRange sqref="D2:D5" name="Datos Generales_1_1_2_2_1"/>
    <protectedRange sqref="D10:D12" name="Datos Generales_1_1_2_10"/>
  </protectedRanges>
  <mergeCells count="1">
    <mergeCell ref="A1:F1"/>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19</vt:i4>
      </vt:variant>
    </vt:vector>
  </HeadingPairs>
  <TitlesOfParts>
    <vt:vector size="24" baseType="lpstr">
      <vt:lpstr>Catalogo-Datos</vt:lpstr>
      <vt:lpstr>COTIZADOR</vt:lpstr>
      <vt:lpstr>Hoja de Cotizacion</vt:lpstr>
      <vt:lpstr>PRECIOS </vt:lpstr>
      <vt:lpstr>PLANTAS</vt:lpstr>
      <vt:lpstr>CBastidor</vt:lpstr>
      <vt:lpstr>CBaterias</vt:lpstr>
      <vt:lpstr>CBombeo</vt:lpstr>
      <vt:lpstr>CControlador</vt:lpstr>
      <vt:lpstr>CControladores</vt:lpstr>
      <vt:lpstr>CGabinete</vt:lpstr>
      <vt:lpstr>CInversor</vt:lpstr>
      <vt:lpstr>CKit</vt:lpstr>
      <vt:lpstr>CLuminarias</vt:lpstr>
      <vt:lpstr>CManoObra</vt:lpstr>
      <vt:lpstr>CMastil</vt:lpstr>
      <vt:lpstr>CMaterial</vt:lpstr>
      <vt:lpstr>CModulos</vt:lpstr>
      <vt:lpstr>CMRyPAR</vt:lpstr>
      <vt:lpstr>CRayos</vt:lpstr>
      <vt:lpstr>CRefrigerador</vt:lpstr>
      <vt:lpstr>CSoporte</vt:lpstr>
      <vt:lpstr>CTablero</vt:lpstr>
      <vt:lpstr>MatrizCotizador</vt:lpstr>
    </vt:vector>
  </TitlesOfParts>
  <Company>Hewlett-Packard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dc:creator>
  <cp:lastModifiedBy>Omen-HP</cp:lastModifiedBy>
  <cp:lastPrinted>2018-07-02T01:04:11Z</cp:lastPrinted>
  <dcterms:created xsi:type="dcterms:W3CDTF">2016-06-12T04:06:52Z</dcterms:created>
  <dcterms:modified xsi:type="dcterms:W3CDTF">2018-11-03T18:48:42Z</dcterms:modified>
</cp:coreProperties>
</file>